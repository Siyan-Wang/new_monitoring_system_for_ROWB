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ulligan/Library/CloudStorage/GoogleDrive-pculliga@nd.edu/My Drive/"/>
    </mc:Choice>
  </mc:AlternateContent>
  <xr:revisionPtr revIDLastSave="0" documentId="8_{AF641A64-9522-8147-9565-DCFA72E0B0B5}" xr6:coauthVersionLast="47" xr6:coauthVersionMax="47" xr10:uidLastSave="{00000000-0000-0000-0000-000000000000}"/>
  <bookViews>
    <workbookView xWindow="26660" yWindow="640" windowWidth="36600" windowHeight="21000" xr2:uid="{C6348E29-CCD2-2748-B240-010F26181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122" i="1" l="1"/>
  <c r="T122" i="1"/>
  <c r="W122" i="1" s="1"/>
  <c r="S122" i="1"/>
  <c r="V104" i="1"/>
  <c r="U104" i="1"/>
  <c r="W104" i="1" s="1"/>
  <c r="T104" i="1"/>
  <c r="S104" i="1"/>
  <c r="U67" i="1"/>
  <c r="T67" i="1"/>
  <c r="W67" i="1" s="1"/>
  <c r="S67" i="1"/>
  <c r="U45" i="1"/>
  <c r="T45" i="1"/>
  <c r="S45" i="1"/>
  <c r="U20" i="1"/>
  <c r="T20" i="1"/>
  <c r="S20" i="1"/>
  <c r="U10" i="1"/>
  <c r="T10" i="1"/>
  <c r="S10" i="1"/>
  <c r="N126" i="1"/>
  <c r="N122" i="1"/>
  <c r="N107" i="1"/>
  <c r="N104" i="1"/>
  <c r="N83" i="1"/>
  <c r="N77" i="1"/>
  <c r="N74" i="1"/>
  <c r="N69" i="1"/>
  <c r="N67" i="1"/>
  <c r="N52" i="1"/>
  <c r="N47" i="1"/>
  <c r="N45" i="1"/>
  <c r="N25" i="1"/>
  <c r="N20" i="1"/>
  <c r="N10" i="1"/>
  <c r="M52" i="1"/>
  <c r="L52" i="1"/>
  <c r="P52" i="1" s="1"/>
  <c r="K52" i="1"/>
  <c r="M126" i="1"/>
  <c r="L126" i="1"/>
  <c r="P126" i="1" s="1"/>
  <c r="K126" i="1"/>
  <c r="M122" i="1"/>
  <c r="L122" i="1"/>
  <c r="K122" i="1"/>
  <c r="M107" i="1"/>
  <c r="L107" i="1"/>
  <c r="P107" i="1" s="1"/>
  <c r="K107" i="1"/>
  <c r="M104" i="1"/>
  <c r="L104" i="1"/>
  <c r="K104" i="1"/>
  <c r="M83" i="1"/>
  <c r="L83" i="1"/>
  <c r="P83" i="1" s="1"/>
  <c r="K83" i="1"/>
  <c r="M77" i="1"/>
  <c r="L77" i="1"/>
  <c r="K77" i="1"/>
  <c r="M74" i="1"/>
  <c r="L74" i="1"/>
  <c r="K74" i="1"/>
  <c r="M69" i="1"/>
  <c r="L69" i="1"/>
  <c r="K69" i="1"/>
  <c r="O69" i="1" s="1"/>
  <c r="M67" i="1"/>
  <c r="L67" i="1"/>
  <c r="P67" i="1" s="1"/>
  <c r="K67" i="1"/>
  <c r="M47" i="1"/>
  <c r="L47" i="1"/>
  <c r="K47" i="1"/>
  <c r="M45" i="1"/>
  <c r="L45" i="1"/>
  <c r="K45" i="1"/>
  <c r="M25" i="1"/>
  <c r="L25" i="1"/>
  <c r="M20" i="1"/>
  <c r="L20" i="1"/>
  <c r="P20" i="1" s="1"/>
  <c r="M10" i="1"/>
  <c r="L10" i="1"/>
  <c r="K10" i="1"/>
  <c r="K25" i="1"/>
  <c r="K20" i="1"/>
  <c r="V45" i="1" l="1"/>
  <c r="P69" i="1"/>
  <c r="V122" i="1"/>
  <c r="X122" i="1" s="1"/>
  <c r="X104" i="1"/>
  <c r="O52" i="1"/>
  <c r="Q52" i="1" s="1"/>
  <c r="V20" i="1"/>
  <c r="W45" i="1"/>
  <c r="X45" i="1" s="1"/>
  <c r="P74" i="1"/>
  <c r="V10" i="1"/>
  <c r="P25" i="1"/>
  <c r="P104" i="1"/>
  <c r="O83" i="1"/>
  <c r="Q83" i="1" s="1"/>
  <c r="W10" i="1"/>
  <c r="X10" i="1" s="1"/>
  <c r="P47" i="1"/>
  <c r="O122" i="1"/>
  <c r="W20" i="1"/>
  <c r="X20" i="1" s="1"/>
  <c r="V67" i="1"/>
  <c r="X67" i="1" s="1"/>
  <c r="O45" i="1"/>
  <c r="P10" i="1"/>
  <c r="P122" i="1"/>
  <c r="O77" i="1"/>
  <c r="P45" i="1"/>
  <c r="O20" i="1"/>
  <c r="Q20" i="1" s="1"/>
  <c r="O25" i="1"/>
  <c r="O107" i="1"/>
  <c r="Q107" i="1" s="1"/>
  <c r="Q69" i="1"/>
  <c r="P77" i="1"/>
  <c r="O104" i="1"/>
  <c r="O126" i="1"/>
  <c r="Q126" i="1" s="1"/>
  <c r="O67" i="1"/>
  <c r="Q67" i="1" s="1"/>
  <c r="O47" i="1"/>
  <c r="Q47" i="1" s="1"/>
  <c r="O10" i="1"/>
  <c r="O74" i="1"/>
  <c r="Q74" i="1" l="1"/>
  <c r="Q25" i="1"/>
  <c r="Q45" i="1"/>
  <c r="Q104" i="1"/>
  <c r="Q77" i="1"/>
  <c r="Q122" i="1"/>
  <c r="Q10" i="1"/>
</calcChain>
</file>

<file path=xl/sharedStrings.xml><?xml version="1.0" encoding="utf-8"?>
<sst xmlns="http://schemas.openxmlformats.org/spreadsheetml/2006/main" count="28" uniqueCount="28">
  <si>
    <t>Storm 1</t>
  </si>
  <si>
    <t>15min_rainaccum</t>
  </si>
  <si>
    <t>inflow_15min_ml</t>
  </si>
  <si>
    <t>outflow_15min_ml</t>
  </si>
  <si>
    <t>sm_10</t>
  </si>
  <si>
    <t>sm_30</t>
  </si>
  <si>
    <t>sm_50</t>
  </si>
  <si>
    <t>Date &amp; Time</t>
  </si>
  <si>
    <t>Storm 2</t>
  </si>
  <si>
    <t>Storm 3</t>
  </si>
  <si>
    <t>Storm 4</t>
  </si>
  <si>
    <t>Storm 5</t>
  </si>
  <si>
    <t>Storm 6</t>
  </si>
  <si>
    <t>Time from Start (min)</t>
  </si>
  <si>
    <t>RPE Rain-depth (mm)</t>
  </si>
  <si>
    <t>RPE</t>
  </si>
  <si>
    <t>Vup, RPE (ml)</t>
  </si>
  <si>
    <t>Vdown, RPE (ml)</t>
  </si>
  <si>
    <t>SM50</t>
  </si>
  <si>
    <t>CRPE</t>
  </si>
  <si>
    <t>Ebs, RPE</t>
  </si>
  <si>
    <t>Rc, RPE</t>
  </si>
  <si>
    <t>Total Storm Rain-depth (mm)</t>
  </si>
  <si>
    <t>Total Storm Vup (ml)</t>
  </si>
  <si>
    <t>Total Storm Vdown (ml)</t>
  </si>
  <si>
    <t>Cstorm</t>
  </si>
  <si>
    <t>Ebs, storm</t>
  </si>
  <si>
    <t>Rc, Storm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</si>
</sst>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Helvetica Neue"/>
      <family val="2"/>
    </font>
    <font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22" fontId="2" fillId="0" borderId="0" xfId="0" applyNumberFormat="1" applyFont="1"/>
    <xf numFmtId="0" fontId="0" fillId="2" borderId="0" xfId="0" applyFill="1"/>
    <xf numFmtId="43" fontId="0" fillId="0" borderId="0" xfId="1" applyFont="1"/>
    <xf numFmtId="0" fontId="0" fillId="3" borderId="0" xfId="0" applyFill="1"/>
    <xf numFmtId="22" fontId="2" fillId="3" borderId="0" xfId="0" applyNumberFormat="1" applyFont="1" applyFill="1"/>
    <xf numFmtId="0" fontId="0" fillId="4" borderId="0" xfId="0" applyFill="1"/>
    <xf numFmtId="22" fontId="2" fillId="4" borderId="0" xfId="0" applyNumberFormat="1" applyFont="1" applyFill="1"/>
    <xf numFmtId="0" fontId="0" fillId="5" borderId="0" xfId="0" applyFill="1"/>
    <xf numFmtId="22" fontId="2" fillId="5" borderId="0" xfId="0" applyNumberFormat="1" applyFont="1" applyFill="1"/>
    <xf numFmtId="0" fontId="0" fillId="6" borderId="0" xfId="0" applyFill="1"/>
    <xf numFmtId="22" fontId="2" fillId="6" borderId="0" xfId="0" applyNumberFormat="1" applyFont="1" applyFill="1"/>
    <xf numFmtId="0" fontId="0" fillId="7" borderId="0" xfId="0" applyFill="1"/>
    <xf numFmtId="22" fontId="2" fillId="7" borderId="0" xfId="0" applyNumberFormat="1" applyFont="1" applyFill="1"/>
    <xf numFmtId="0" fontId="0" fillId="8" borderId="0" xfId="0" applyFill="1"/>
    <xf numFmtId="22" fontId="2" fillId="8" borderId="0" xfId="0" applyNumberFormat="1" applyFont="1" applyFill="1"/>
    <xf numFmtId="22" fontId="2" fillId="2" borderId="0" xfId="0" applyNumberFormat="1" applyFont="1" applyFill="1"/>
    <xf numFmtId="22" fontId="2" fillId="0" borderId="0" xfId="0" applyNumberFormat="1" applyFont="1" applyAlignment="1">
      <alignment wrapText="1"/>
    </xf>
    <xf numFmtId="22" fontId="2" fillId="3" borderId="0" xfId="0" applyNumberFormat="1" applyFont="1" applyFill="1" applyAlignment="1">
      <alignment wrapText="1"/>
    </xf>
    <xf numFmtId="22" fontId="2" fillId="2" borderId="0" xfId="0" applyNumberFormat="1" applyFont="1" applyFill="1" applyAlignment="1">
      <alignment wrapText="1"/>
    </xf>
    <xf numFmtId="22" fontId="2" fillId="4" borderId="0" xfId="0" applyNumberFormat="1" applyFont="1" applyFill="1" applyAlignment="1">
      <alignment wrapText="1"/>
    </xf>
    <xf numFmtId="22" fontId="2" fillId="5" borderId="0" xfId="0" applyNumberFormat="1" applyFont="1" applyFill="1" applyAlignment="1">
      <alignment wrapText="1"/>
    </xf>
    <xf numFmtId="22" fontId="2" fillId="7" borderId="0" xfId="0" applyNumberFormat="1" applyFont="1" applyFill="1" applyAlignment="1">
      <alignment wrapText="1"/>
    </xf>
    <xf numFmtId="22" fontId="2" fillId="8" borderId="0" xfId="0" applyNumberFormat="1" applyFont="1" applyFill="1" applyAlignment="1">
      <alignment wrapText="1"/>
    </xf>
    <xf numFmtId="22" fontId="2" fillId="6" borderId="0" xfId="0" applyNumberFormat="1" applyFont="1" applyFill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E0C6D"/>
      <color rgb="FFFE5F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B7CADE7-6D77-884A-8941-A582E50CFB7B}">
  <we:reference id="WA200010215" version="2.0.0.1" store="Omex" storeType="OMEX"/>
  <we:alternateReferences>
    <we:reference id="WA200010215" version="2.0.0.1" store="WA200010215" storeType="OMEX"/>
  </we:alternateReferences>
  <we:properties>
    <we:property name="bps.codex_control.document_id" value="&quot;a5516955-4eb6-47fb-8bed-853c6ed4e46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53CFB-DD3B-8E47-978D-D2E6759F597C}">
  <dimension ref="A1:Y158"/>
  <sheetViews>
    <sheetView tabSelected="1" workbookViewId="0">
      <selection activeCell="V1" sqref="V1:V1048576"/>
    </sheetView>
  </sheetViews>
  <sheetFormatPr baseColWidth="10" defaultRowHeight="16" x14ac:dyDescent="0.2"/>
  <cols>
    <col min="2" max="2" width="14.6640625" customWidth="1"/>
    <col min="3" max="3" width="14.6640625" style="27" customWidth="1"/>
    <col min="5" max="6" width="14" bestFit="1" customWidth="1"/>
    <col min="20" max="20" width="12.6640625" bestFit="1" customWidth="1"/>
  </cols>
  <sheetData>
    <row r="1" spans="1:24" ht="51" x14ac:dyDescent="0.2">
      <c r="B1" s="1" t="s">
        <v>7</v>
      </c>
      <c r="C1" s="2" t="s">
        <v>13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15</v>
      </c>
      <c r="K1" s="2" t="s">
        <v>14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</row>
    <row r="2" spans="1:24" x14ac:dyDescent="0.2">
      <c r="A2" s="1" t="s">
        <v>0</v>
      </c>
      <c r="B2" s="3">
        <v>43684.664918981478</v>
      </c>
      <c r="C2" s="19"/>
      <c r="D2">
        <v>0</v>
      </c>
      <c r="E2">
        <v>0</v>
      </c>
      <c r="F2">
        <v>0</v>
      </c>
    </row>
    <row r="3" spans="1:24" x14ac:dyDescent="0.2">
      <c r="B3" s="3">
        <v>43684.675335648149</v>
      </c>
      <c r="C3" s="19"/>
      <c r="D3">
        <v>0</v>
      </c>
      <c r="E3">
        <v>0</v>
      </c>
      <c r="F3">
        <v>0</v>
      </c>
      <c r="G3">
        <v>0.14000000000000001</v>
      </c>
      <c r="H3">
        <v>0.20300000000000001</v>
      </c>
      <c r="I3">
        <v>0.25600000000000001</v>
      </c>
    </row>
    <row r="4" spans="1:24" x14ac:dyDescent="0.2">
      <c r="B4" s="3">
        <v>43684.685752314814</v>
      </c>
      <c r="C4" s="19"/>
      <c r="D4">
        <v>0</v>
      </c>
      <c r="E4">
        <v>0</v>
      </c>
      <c r="F4">
        <v>0</v>
      </c>
      <c r="G4">
        <v>0.14000000000000001</v>
      </c>
      <c r="H4">
        <v>0.20300000000000001</v>
      </c>
      <c r="I4">
        <v>0.25600000000000001</v>
      </c>
    </row>
    <row r="5" spans="1:24" x14ac:dyDescent="0.2">
      <c r="B5" s="3">
        <v>43684.696168981478</v>
      </c>
      <c r="C5" s="19"/>
      <c r="D5">
        <v>0</v>
      </c>
      <c r="E5">
        <v>57253.2690887922</v>
      </c>
      <c r="F5">
        <v>7144.7664848945196</v>
      </c>
      <c r="G5">
        <v>0.14000000000000001</v>
      </c>
      <c r="H5">
        <v>0.20300000000000001</v>
      </c>
      <c r="I5">
        <v>0.25600000000000001</v>
      </c>
    </row>
    <row r="6" spans="1:24" x14ac:dyDescent="0.2">
      <c r="B6" s="3">
        <v>43684.706585648149</v>
      </c>
      <c r="C6" s="19"/>
      <c r="D6">
        <v>0</v>
      </c>
      <c r="E6">
        <v>67579.008435026204</v>
      </c>
      <c r="F6">
        <v>8613.2941868897306</v>
      </c>
      <c r="G6">
        <v>0.14000000000000001</v>
      </c>
      <c r="H6">
        <v>0.20300000000000001</v>
      </c>
      <c r="I6">
        <v>0.25600000000000001</v>
      </c>
    </row>
    <row r="7" spans="1:24" x14ac:dyDescent="0.2">
      <c r="B7" s="3">
        <v>43684.717002314814</v>
      </c>
      <c r="C7" s="19"/>
      <c r="D7">
        <v>0</v>
      </c>
      <c r="E7">
        <v>65476.730333878499</v>
      </c>
      <c r="F7">
        <v>8629.5931964817592</v>
      </c>
      <c r="G7">
        <v>0.14000000000000001</v>
      </c>
      <c r="H7">
        <v>0.20300000000000001</v>
      </c>
      <c r="I7">
        <v>0.25600000000000001</v>
      </c>
    </row>
    <row r="8" spans="1:24" x14ac:dyDescent="0.2">
      <c r="B8" s="3">
        <v>43684.727418981478</v>
      </c>
      <c r="C8" s="19"/>
      <c r="D8">
        <v>0</v>
      </c>
      <c r="E8">
        <v>65912.930578458196</v>
      </c>
      <c r="F8">
        <v>8627.4913409133096</v>
      </c>
      <c r="G8">
        <v>0.14000000000000001</v>
      </c>
      <c r="H8">
        <v>0.20300000000000001</v>
      </c>
      <c r="I8">
        <v>0.25600000000000001</v>
      </c>
    </row>
    <row r="9" spans="1:24" x14ac:dyDescent="0.2">
      <c r="B9" s="3">
        <v>43684.737835648149</v>
      </c>
      <c r="C9" s="19"/>
      <c r="D9">
        <v>0</v>
      </c>
      <c r="E9">
        <v>83121.254617843995</v>
      </c>
      <c r="F9">
        <v>8626.2757645254696</v>
      </c>
      <c r="G9">
        <v>0.14000000000000001</v>
      </c>
      <c r="H9">
        <v>0.20300000000000001</v>
      </c>
      <c r="I9">
        <v>0.25600000000000001</v>
      </c>
    </row>
    <row r="10" spans="1:24" x14ac:dyDescent="0.2">
      <c r="A10" s="6"/>
      <c r="B10" s="7">
        <v>43684.748252314814</v>
      </c>
      <c r="C10" s="20"/>
      <c r="D10" s="6">
        <v>0</v>
      </c>
      <c r="E10" s="6">
        <v>102191.70265934301</v>
      </c>
      <c r="F10" s="6">
        <v>8611.5978708525508</v>
      </c>
      <c r="G10" s="6">
        <v>0.14000000000000001</v>
      </c>
      <c r="H10" s="6">
        <v>0.20300000000000001</v>
      </c>
      <c r="I10" s="6">
        <v>0.25600000000000001</v>
      </c>
      <c r="J10">
        <v>1.1000000000000001</v>
      </c>
      <c r="K10" s="30">
        <f>SUM(D10:D14)</f>
        <v>7.7977999999999996</v>
      </c>
      <c r="L10" s="29">
        <f>SUM(E10:E14)</f>
        <v>6322704.077911566</v>
      </c>
      <c r="M10" s="29">
        <f>SUM(F10:F14)</f>
        <v>1813860.3281073107</v>
      </c>
      <c r="N10">
        <f>I9</f>
        <v>0.25600000000000001</v>
      </c>
      <c r="O10" s="28">
        <f>(L10*0.000001)/(1629*(K10*0.001))</f>
        <v>0.49774817867137999</v>
      </c>
      <c r="P10" s="28">
        <f>(L10-M10)/L10</f>
        <v>0.71311952832901815</v>
      </c>
      <c r="Q10" s="28">
        <f>O10*P10</f>
        <v>0.35495394640076233</v>
      </c>
      <c r="S10" s="30">
        <f>SUM(D2:D15)</f>
        <v>7.7977999999999996</v>
      </c>
      <c r="T10" s="29">
        <f>SUM(E2:E15)</f>
        <v>6662047.270965565</v>
      </c>
      <c r="U10" s="29">
        <f>SUM(F2:F15)</f>
        <v>1855501.7490810154</v>
      </c>
      <c r="V10" s="28">
        <f>(T10*0.000001)/(1629*(S10*0.001))</f>
        <v>0.52446261195906752</v>
      </c>
      <c r="W10" s="28">
        <f>(T10-U10)/T10</f>
        <v>0.72148174973665591</v>
      </c>
      <c r="X10" s="28">
        <f>V10*W10</f>
        <v>0.37839020294768483</v>
      </c>
    </row>
    <row r="11" spans="1:24" x14ac:dyDescent="0.2">
      <c r="A11" s="6"/>
      <c r="B11" s="7">
        <v>43684.758668981478</v>
      </c>
      <c r="C11" s="20"/>
      <c r="D11" s="6">
        <v>2.0066000000000002</v>
      </c>
      <c r="E11" s="6">
        <v>896078.99284759001</v>
      </c>
      <c r="F11" s="6">
        <v>198274.60058000399</v>
      </c>
      <c r="G11" s="6">
        <v>0.14000000000000001</v>
      </c>
      <c r="H11" s="6">
        <v>0.20300000000000001</v>
      </c>
      <c r="I11" s="6">
        <v>0.25600000000000001</v>
      </c>
      <c r="L11" s="29"/>
      <c r="M11" s="29"/>
    </row>
    <row r="12" spans="1:24" x14ac:dyDescent="0.2">
      <c r="A12" s="6"/>
      <c r="B12" s="7">
        <v>43684.769085648149</v>
      </c>
      <c r="C12" s="20"/>
      <c r="D12" s="6">
        <v>5.5880000000000001</v>
      </c>
      <c r="E12" s="6">
        <v>4715985.6565038897</v>
      </c>
      <c r="F12" s="6">
        <v>1482743.24869295</v>
      </c>
      <c r="G12" s="6">
        <v>0.14000000000000001</v>
      </c>
      <c r="H12" s="6">
        <v>0.20300000000000001</v>
      </c>
      <c r="I12" s="6">
        <v>0.25600000000000001</v>
      </c>
      <c r="L12" s="29"/>
      <c r="M12" s="29"/>
    </row>
    <row r="13" spans="1:24" x14ac:dyDescent="0.2">
      <c r="A13" s="6"/>
      <c r="B13" s="7">
        <v>43684.779502314814</v>
      </c>
      <c r="C13" s="20"/>
      <c r="D13" s="6">
        <v>0.20319999999999999</v>
      </c>
      <c r="E13" s="6">
        <v>608447.72590074304</v>
      </c>
      <c r="F13" s="6">
        <v>124230.88096350399</v>
      </c>
      <c r="G13" s="6">
        <v>0.14000000000000001</v>
      </c>
      <c r="H13" s="6">
        <v>0.20300000000000001</v>
      </c>
      <c r="I13" s="6">
        <v>0.25600000000000001</v>
      </c>
      <c r="L13" s="29"/>
      <c r="M13" s="29"/>
    </row>
    <row r="14" spans="1:24" x14ac:dyDescent="0.2">
      <c r="A14" s="6"/>
      <c r="B14" s="7">
        <v>43684.789918981478</v>
      </c>
      <c r="C14" s="20"/>
      <c r="D14" s="6">
        <v>0</v>
      </c>
      <c r="E14" s="6">
        <v>0</v>
      </c>
      <c r="F14" s="6">
        <v>0</v>
      </c>
      <c r="G14" s="6">
        <v>0.14000000000000001</v>
      </c>
      <c r="H14" s="6">
        <v>0.20300000000000001</v>
      </c>
      <c r="I14" s="6">
        <v>0.25600000000000001</v>
      </c>
      <c r="L14" s="29"/>
      <c r="M14" s="29"/>
    </row>
    <row r="15" spans="1:24" x14ac:dyDescent="0.2">
      <c r="B15" s="3">
        <v>43684.800335648149</v>
      </c>
      <c r="C15" s="19"/>
      <c r="D15">
        <v>0</v>
      </c>
      <c r="E15">
        <v>0</v>
      </c>
      <c r="F15">
        <v>0</v>
      </c>
      <c r="G15">
        <v>0.14000000000000001</v>
      </c>
      <c r="H15">
        <v>0.20300000000000001</v>
      </c>
      <c r="I15">
        <v>0.25600000000000001</v>
      </c>
      <c r="L15" s="29"/>
      <c r="M15" s="29"/>
    </row>
    <row r="16" spans="1:24" x14ac:dyDescent="0.2">
      <c r="L16" s="29"/>
      <c r="M16" s="29"/>
    </row>
    <row r="17" spans="1:24" x14ac:dyDescent="0.2">
      <c r="A17" s="1" t="s">
        <v>8</v>
      </c>
      <c r="B17" s="3">
        <v>43629.315717592595</v>
      </c>
      <c r="C17" s="19"/>
      <c r="D17">
        <v>0</v>
      </c>
      <c r="E17">
        <v>0</v>
      </c>
      <c r="F17">
        <v>0</v>
      </c>
      <c r="L17" s="29"/>
      <c r="M17" s="29"/>
    </row>
    <row r="18" spans="1:24" x14ac:dyDescent="0.2">
      <c r="B18" s="3">
        <v>43629.32613425926</v>
      </c>
      <c r="C18" s="19"/>
      <c r="D18">
        <v>0</v>
      </c>
      <c r="E18">
        <v>0</v>
      </c>
      <c r="F18">
        <v>0</v>
      </c>
      <c r="G18">
        <v>0.224</v>
      </c>
      <c r="H18">
        <v>0.22</v>
      </c>
      <c r="I18">
        <v>0.26600000000000001</v>
      </c>
      <c r="L18" s="29"/>
      <c r="M18" s="29"/>
    </row>
    <row r="19" spans="1:24" x14ac:dyDescent="0.2">
      <c r="B19" s="3">
        <v>43629.336550925924</v>
      </c>
      <c r="C19" s="19"/>
      <c r="D19">
        <v>0</v>
      </c>
      <c r="E19">
        <v>0</v>
      </c>
      <c r="F19">
        <v>0</v>
      </c>
      <c r="G19">
        <v>0.224</v>
      </c>
      <c r="H19">
        <v>0.22</v>
      </c>
      <c r="I19">
        <v>0.26500000000000001</v>
      </c>
      <c r="L19" s="29"/>
      <c r="M19" s="29"/>
    </row>
    <row r="20" spans="1:24" x14ac:dyDescent="0.2">
      <c r="A20" s="6"/>
      <c r="B20" s="7">
        <v>43629.346967592595</v>
      </c>
      <c r="C20" s="20"/>
      <c r="D20" s="6">
        <v>0</v>
      </c>
      <c r="E20" s="6">
        <v>58096.937149894999</v>
      </c>
      <c r="F20" s="6">
        <v>7547.2665413913601</v>
      </c>
      <c r="G20" s="6">
        <v>0.223</v>
      </c>
      <c r="H20" s="6">
        <v>0.22</v>
      </c>
      <c r="I20" s="6">
        <v>0.26500000000000001</v>
      </c>
      <c r="J20">
        <v>2.1</v>
      </c>
      <c r="K20">
        <f>SUM(D20:D24)+D25/2</f>
        <v>6.1</v>
      </c>
      <c r="L20" s="29">
        <f t="shared" ref="L20:M20" si="0">SUM(E20:E24)+E25/2</f>
        <v>5278779.7388135092</v>
      </c>
      <c r="M20" s="29">
        <f t="shared" si="0"/>
        <v>2061115.9475634862</v>
      </c>
      <c r="N20">
        <f>I19</f>
        <v>0.26500000000000001</v>
      </c>
      <c r="O20" s="28">
        <f>(L20*0.000001)/(1629*(K20*0.001))</f>
        <v>0.53123003540475489</v>
      </c>
      <c r="P20" s="28">
        <f>(L20-M20)/L20</f>
        <v>0.60954689349725455</v>
      </c>
      <c r="Q20" s="28">
        <f>O20*P20</f>
        <v>0.32380961781340489</v>
      </c>
      <c r="S20">
        <f>SUM(D17:D40)</f>
        <v>13.199999999999996</v>
      </c>
      <c r="T20" s="29">
        <f t="shared" ref="T20:U20" si="1">SUM(E17:E40)</f>
        <v>12993670.424061447</v>
      </c>
      <c r="U20" s="29">
        <f t="shared" si="1"/>
        <v>5827597.1704632323</v>
      </c>
      <c r="V20" s="28">
        <f>(T20*0.000001)/(1629*(S20*0.001))</f>
        <v>0.60427806723131183</v>
      </c>
      <c r="W20" s="28">
        <f>(T20-U20)/T20</f>
        <v>0.55150492660858996</v>
      </c>
      <c r="X20" s="28">
        <f>V20*W20</f>
        <v>0.3332623311195852</v>
      </c>
    </row>
    <row r="21" spans="1:24" x14ac:dyDescent="0.2">
      <c r="A21" s="6"/>
      <c r="B21" s="7">
        <v>43629.35738425926</v>
      </c>
      <c r="C21" s="20"/>
      <c r="D21" s="6">
        <v>0.6</v>
      </c>
      <c r="E21" s="6">
        <v>104348.877750303</v>
      </c>
      <c r="F21" s="6">
        <v>15354.3650567516</v>
      </c>
      <c r="G21" s="6">
        <v>0.223</v>
      </c>
      <c r="H21" s="6">
        <v>0.22</v>
      </c>
      <c r="I21" s="6">
        <v>0.26500000000000001</v>
      </c>
      <c r="L21" s="29"/>
      <c r="M21" s="29"/>
    </row>
    <row r="22" spans="1:24" x14ac:dyDescent="0.2">
      <c r="A22" s="6"/>
      <c r="B22" s="7">
        <v>43629.367800925924</v>
      </c>
      <c r="C22" s="20"/>
      <c r="D22" s="6">
        <v>1.2</v>
      </c>
      <c r="E22" s="6">
        <v>537725.20133478998</v>
      </c>
      <c r="F22" s="6">
        <v>103721.996448641</v>
      </c>
      <c r="G22" s="6">
        <v>0.223</v>
      </c>
      <c r="H22" s="6">
        <v>0.22</v>
      </c>
      <c r="I22" s="6">
        <v>0.26500000000000001</v>
      </c>
      <c r="L22" s="29"/>
      <c r="M22" s="29"/>
    </row>
    <row r="23" spans="1:24" x14ac:dyDescent="0.2">
      <c r="A23" s="6"/>
      <c r="B23" s="7">
        <v>43629.378217592595</v>
      </c>
      <c r="C23" s="20"/>
      <c r="D23" s="6">
        <v>3.2</v>
      </c>
      <c r="E23" s="6">
        <v>3209334.7020193902</v>
      </c>
      <c r="F23" s="6">
        <v>1092935.0657800101</v>
      </c>
      <c r="G23" s="6">
        <v>0.32</v>
      </c>
      <c r="H23" s="6">
        <v>0.28100000000000003</v>
      </c>
      <c r="I23" s="6">
        <v>0.26700000000000002</v>
      </c>
      <c r="L23" s="29"/>
      <c r="M23" s="29"/>
    </row>
    <row r="24" spans="1:24" x14ac:dyDescent="0.2">
      <c r="A24" s="6"/>
      <c r="B24" s="7">
        <v>43629.38863425926</v>
      </c>
      <c r="C24" s="20"/>
      <c r="D24" s="6">
        <v>0.8</v>
      </c>
      <c r="E24" s="6">
        <v>1003553.85089068</v>
      </c>
      <c r="F24" s="6">
        <v>614651.24039904994</v>
      </c>
      <c r="G24" s="6">
        <v>0.31900000000000001</v>
      </c>
      <c r="H24" s="6">
        <v>0.28599999999999998</v>
      </c>
      <c r="I24" s="6">
        <v>0.29399999999999998</v>
      </c>
      <c r="L24" s="29"/>
      <c r="M24" s="29"/>
    </row>
    <row r="25" spans="1:24" x14ac:dyDescent="0.2">
      <c r="A25" s="4"/>
      <c r="B25" s="18">
        <v>43629.399050925924</v>
      </c>
      <c r="C25" s="21"/>
      <c r="D25" s="4">
        <v>0.6</v>
      </c>
      <c r="E25" s="4">
        <v>731440.33933690202</v>
      </c>
      <c r="F25" s="4">
        <v>453812.02667528403</v>
      </c>
      <c r="G25" s="4">
        <v>0.308</v>
      </c>
      <c r="H25" s="4">
        <v>0.28799999999999998</v>
      </c>
      <c r="I25" s="4">
        <v>0.29699999999999999</v>
      </c>
      <c r="J25" s="4">
        <v>2.2000000000000002</v>
      </c>
      <c r="K25">
        <f>D25/2 + SUM(D26:D38)</f>
        <v>7.1000000000000014</v>
      </c>
      <c r="L25" s="29">
        <f t="shared" ref="L25:M25" si="2">E25/2 + SUM(E26:E38)</f>
        <v>7498194.7069285866</v>
      </c>
      <c r="M25" s="29">
        <f t="shared" si="2"/>
        <v>3757790.6903215712</v>
      </c>
      <c r="N25">
        <f>I24</f>
        <v>0.29399999999999998</v>
      </c>
      <c r="O25" s="28">
        <f>(L25*0.000001)/(1629*(K25*0.001))</f>
        <v>0.64830187939793571</v>
      </c>
      <c r="P25" s="28">
        <f>(L25-M25)/L25</f>
        <v>0.49884060934704122</v>
      </c>
      <c r="Q25" s="28">
        <f>O25*P25</f>
        <v>0.32339930455969829</v>
      </c>
    </row>
    <row r="26" spans="1:24" x14ac:dyDescent="0.2">
      <c r="A26" s="8"/>
      <c r="B26" s="9">
        <v>43629.409467592595</v>
      </c>
      <c r="C26" s="22"/>
      <c r="D26" s="8">
        <v>1</v>
      </c>
      <c r="E26" s="8">
        <v>897888.865503259</v>
      </c>
      <c r="F26" s="8">
        <v>635897.28879118199</v>
      </c>
      <c r="G26" s="8">
        <v>0.307</v>
      </c>
      <c r="H26" s="8">
        <v>0.28899999999999998</v>
      </c>
      <c r="I26" s="8">
        <v>0.29699999999999999</v>
      </c>
      <c r="L26" s="29"/>
      <c r="M26" s="29"/>
    </row>
    <row r="27" spans="1:24" x14ac:dyDescent="0.2">
      <c r="A27" s="8"/>
      <c r="B27" s="9">
        <v>43629.41988425926</v>
      </c>
      <c r="C27" s="22"/>
      <c r="D27" s="8">
        <v>0.8</v>
      </c>
      <c r="E27" s="8">
        <v>572767.48472327401</v>
      </c>
      <c r="F27" s="8">
        <v>313766.30268868199</v>
      </c>
      <c r="G27" s="8">
        <v>0.312</v>
      </c>
      <c r="H27" s="8">
        <v>0.29199999999999998</v>
      </c>
      <c r="I27" s="8">
        <v>0.29699999999999999</v>
      </c>
      <c r="L27" s="29"/>
      <c r="M27" s="29"/>
    </row>
    <row r="28" spans="1:24" x14ac:dyDescent="0.2">
      <c r="A28" s="8"/>
      <c r="B28" s="9">
        <v>43629.430300925924</v>
      </c>
      <c r="C28" s="22"/>
      <c r="D28" s="8">
        <v>1.2</v>
      </c>
      <c r="E28" s="8">
        <v>949153.86108162499</v>
      </c>
      <c r="F28" s="8">
        <v>693897.49793746497</v>
      </c>
      <c r="G28" s="8">
        <v>0.308</v>
      </c>
      <c r="H28" s="8">
        <v>0.29199999999999998</v>
      </c>
      <c r="I28" s="8">
        <v>0.29799999999999999</v>
      </c>
      <c r="L28" s="29"/>
      <c r="M28" s="29"/>
    </row>
    <row r="29" spans="1:24" x14ac:dyDescent="0.2">
      <c r="A29" s="8"/>
      <c r="B29" s="9">
        <v>43629.440717592595</v>
      </c>
      <c r="C29" s="22"/>
      <c r="D29" s="8">
        <v>1.2</v>
      </c>
      <c r="E29" s="8">
        <v>1059592.7507454299</v>
      </c>
      <c r="F29" s="8">
        <v>752139.15573039197</v>
      </c>
      <c r="G29" s="8">
        <v>0.313</v>
      </c>
      <c r="H29" s="8">
        <v>0.29399999999999998</v>
      </c>
      <c r="I29" s="8">
        <v>0.29799999999999999</v>
      </c>
      <c r="L29" s="29"/>
      <c r="M29" s="29"/>
    </row>
    <row r="30" spans="1:24" x14ac:dyDescent="0.2">
      <c r="A30" s="8"/>
      <c r="B30" s="9">
        <v>43629.45113425926</v>
      </c>
      <c r="C30" s="22"/>
      <c r="D30" s="8">
        <v>0.2</v>
      </c>
      <c r="E30" s="8">
        <v>494913.72782894498</v>
      </c>
      <c r="F30" s="8">
        <v>326796.10461818002</v>
      </c>
      <c r="G30" s="8">
        <v>0.314</v>
      </c>
      <c r="H30" s="8">
        <v>0.29399999999999998</v>
      </c>
      <c r="I30" s="8">
        <v>0.29799999999999999</v>
      </c>
      <c r="L30" s="29"/>
      <c r="M30" s="29"/>
    </row>
    <row r="31" spans="1:24" x14ac:dyDescent="0.2">
      <c r="A31" s="8"/>
      <c r="B31" s="9">
        <v>43629.461550925924</v>
      </c>
      <c r="C31" s="22"/>
      <c r="D31" s="8">
        <v>0.4</v>
      </c>
      <c r="E31" s="8">
        <v>466940.851154409</v>
      </c>
      <c r="F31" s="8">
        <v>156163.77689024599</v>
      </c>
      <c r="G31" s="8">
        <v>0.31</v>
      </c>
      <c r="H31" s="8">
        <v>0.29399999999999998</v>
      </c>
      <c r="I31" s="8">
        <v>0.3</v>
      </c>
      <c r="L31" s="29"/>
      <c r="M31" s="29"/>
    </row>
    <row r="32" spans="1:24" x14ac:dyDescent="0.2">
      <c r="A32" s="8"/>
      <c r="B32" s="9">
        <v>43629.471967592595</v>
      </c>
      <c r="C32" s="22"/>
      <c r="D32" s="8">
        <v>0.2</v>
      </c>
      <c r="E32" s="8">
        <v>361615.25079559698</v>
      </c>
      <c r="F32" s="8">
        <v>163871.08971691399</v>
      </c>
      <c r="G32" s="8">
        <v>0.31</v>
      </c>
      <c r="H32" s="8">
        <v>0.29599999999999999</v>
      </c>
      <c r="I32" s="8">
        <v>0.3</v>
      </c>
      <c r="L32" s="29"/>
      <c r="M32" s="29"/>
    </row>
    <row r="33" spans="1:24" x14ac:dyDescent="0.2">
      <c r="A33" s="8"/>
      <c r="B33" s="9">
        <v>43629.48238425926</v>
      </c>
      <c r="C33" s="22"/>
      <c r="D33" s="8">
        <v>0.6</v>
      </c>
      <c r="E33" s="8">
        <v>371001.27036735701</v>
      </c>
      <c r="F33" s="8">
        <v>26991.726033536699</v>
      </c>
      <c r="G33" s="8">
        <v>0.31</v>
      </c>
      <c r="H33" s="8">
        <v>0.29499999999999998</v>
      </c>
      <c r="I33" s="8">
        <v>0.3</v>
      </c>
      <c r="L33" s="29"/>
      <c r="M33" s="29"/>
    </row>
    <row r="34" spans="1:24" x14ac:dyDescent="0.2">
      <c r="A34" s="8"/>
      <c r="B34" s="9">
        <v>43629.492800925924</v>
      </c>
      <c r="C34" s="22"/>
      <c r="D34" s="8">
        <v>0.4</v>
      </c>
      <c r="E34" s="8">
        <v>610436.926944935</v>
      </c>
      <c r="F34" s="8">
        <v>254602.458077677</v>
      </c>
      <c r="G34" s="8">
        <v>0.31</v>
      </c>
      <c r="H34" s="8">
        <v>0.29599999999999999</v>
      </c>
      <c r="I34" s="8">
        <v>0.3</v>
      </c>
      <c r="L34" s="29"/>
      <c r="M34" s="29"/>
    </row>
    <row r="35" spans="1:24" x14ac:dyDescent="0.2">
      <c r="A35" s="8"/>
      <c r="B35" s="9">
        <v>43629.503217592595</v>
      </c>
      <c r="C35" s="22"/>
      <c r="D35" s="8">
        <v>0.2</v>
      </c>
      <c r="E35" s="8">
        <v>301774.60867666098</v>
      </c>
      <c r="F35" s="8">
        <v>137240.79895512501</v>
      </c>
      <c r="G35" s="8">
        <v>0.316</v>
      </c>
      <c r="H35" s="8">
        <v>0.29699999999999999</v>
      </c>
      <c r="I35" s="8">
        <v>0.3</v>
      </c>
      <c r="L35" s="29"/>
      <c r="M35" s="29"/>
    </row>
    <row r="36" spans="1:24" x14ac:dyDescent="0.2">
      <c r="A36" s="8"/>
      <c r="B36" s="9">
        <v>43629.51363425926</v>
      </c>
      <c r="C36" s="22"/>
      <c r="D36" s="8">
        <v>0.4</v>
      </c>
      <c r="E36" s="8">
        <v>365643.36438955599</v>
      </c>
      <c r="F36" s="8">
        <v>31323.153222673602</v>
      </c>
      <c r="G36" s="8">
        <v>0.312</v>
      </c>
      <c r="H36" s="8">
        <v>0.29599999999999999</v>
      </c>
      <c r="I36" s="8">
        <v>0.30199999999999999</v>
      </c>
      <c r="L36" s="29"/>
      <c r="M36" s="29"/>
    </row>
    <row r="37" spans="1:24" x14ac:dyDescent="0.2">
      <c r="A37" s="8"/>
      <c r="B37" s="9">
        <v>43629.524050925924</v>
      </c>
      <c r="C37" s="22"/>
      <c r="D37" s="8">
        <v>0.2</v>
      </c>
      <c r="E37" s="8">
        <v>422811.99952026102</v>
      </c>
      <c r="F37" s="8">
        <v>28997.891347779099</v>
      </c>
      <c r="G37" s="8">
        <v>0.313</v>
      </c>
      <c r="H37" s="8">
        <v>0.29699999999999999</v>
      </c>
      <c r="I37" s="8">
        <v>0.30199999999999999</v>
      </c>
      <c r="L37" s="29"/>
      <c r="M37" s="29"/>
    </row>
    <row r="38" spans="1:24" x14ac:dyDescent="0.2">
      <c r="A38" s="8"/>
      <c r="B38" s="9">
        <v>43629.534467592595</v>
      </c>
      <c r="C38" s="22"/>
      <c r="D38" s="8">
        <v>0</v>
      </c>
      <c r="E38" s="8">
        <v>257933.575528827</v>
      </c>
      <c r="F38" s="8">
        <v>9197.4329740768608</v>
      </c>
      <c r="G38" s="8">
        <v>0.313</v>
      </c>
      <c r="H38" s="8">
        <v>0.29699999999999999</v>
      </c>
      <c r="I38" s="8">
        <v>0.30199999999999999</v>
      </c>
      <c r="L38" s="29"/>
      <c r="M38" s="29"/>
    </row>
    <row r="39" spans="1:24" x14ac:dyDescent="0.2">
      <c r="B39" s="3">
        <v>43629.54488425926</v>
      </c>
      <c r="C39" s="19"/>
      <c r="D39">
        <v>0</v>
      </c>
      <c r="E39">
        <v>216695.97831934999</v>
      </c>
      <c r="F39">
        <v>8690.5325781757201</v>
      </c>
      <c r="G39">
        <v>0.315</v>
      </c>
      <c r="H39">
        <v>0.29699999999999999</v>
      </c>
      <c r="I39">
        <v>0.30199999999999999</v>
      </c>
      <c r="L39" s="29"/>
      <c r="M39" s="29"/>
    </row>
    <row r="40" spans="1:24" x14ac:dyDescent="0.2">
      <c r="B40" s="3">
        <v>43629.555300925924</v>
      </c>
      <c r="C40" s="19"/>
      <c r="D40">
        <v>0</v>
      </c>
      <c r="E40">
        <v>0</v>
      </c>
      <c r="F40">
        <v>0</v>
      </c>
      <c r="G40">
        <v>0.32500000000000001</v>
      </c>
      <c r="H40">
        <v>0.29899999999999999</v>
      </c>
      <c r="I40">
        <v>0.30199999999999999</v>
      </c>
      <c r="L40" s="29"/>
      <c r="M40" s="29"/>
    </row>
    <row r="41" spans="1:24" x14ac:dyDescent="0.2">
      <c r="L41" s="29"/>
      <c r="M41" s="29"/>
    </row>
    <row r="42" spans="1:24" x14ac:dyDescent="0.2">
      <c r="A42" s="1" t="s">
        <v>9</v>
      </c>
      <c r="B42" s="3">
        <v>43361.526620370372</v>
      </c>
      <c r="C42" s="19"/>
      <c r="D42">
        <v>0</v>
      </c>
      <c r="E42">
        <v>0</v>
      </c>
      <c r="F42">
        <v>0</v>
      </c>
      <c r="L42" s="29"/>
      <c r="M42" s="29"/>
    </row>
    <row r="43" spans="1:24" x14ac:dyDescent="0.2">
      <c r="B43" s="3">
        <v>43361.537037037036</v>
      </c>
      <c r="C43" s="19"/>
      <c r="D43">
        <v>0</v>
      </c>
      <c r="E43">
        <v>0</v>
      </c>
      <c r="F43">
        <v>0</v>
      </c>
      <c r="G43">
        <v>0.23200000000000001</v>
      </c>
      <c r="H43">
        <v>0.217</v>
      </c>
      <c r="I43">
        <v>0.255</v>
      </c>
      <c r="L43" s="29"/>
      <c r="M43" s="29"/>
    </row>
    <row r="44" spans="1:24" x14ac:dyDescent="0.2">
      <c r="B44" s="3">
        <v>43361.547453703701</v>
      </c>
      <c r="C44" s="19"/>
      <c r="D44">
        <v>0</v>
      </c>
      <c r="E44">
        <v>0</v>
      </c>
      <c r="F44">
        <v>0</v>
      </c>
      <c r="G44">
        <v>0.23200000000000001</v>
      </c>
      <c r="H44">
        <v>0.217</v>
      </c>
      <c r="I44">
        <v>0.255</v>
      </c>
      <c r="L44" s="29"/>
      <c r="M44" s="29"/>
    </row>
    <row r="45" spans="1:24" x14ac:dyDescent="0.2">
      <c r="A45" s="6"/>
      <c r="B45" s="7">
        <v>43361.557870370372</v>
      </c>
      <c r="C45" s="20"/>
      <c r="D45" s="6">
        <v>0</v>
      </c>
      <c r="E45" s="6">
        <v>23960.771858472799</v>
      </c>
      <c r="F45" s="6">
        <v>2723.48974980192</v>
      </c>
      <c r="G45" s="6">
        <v>0.23200000000000001</v>
      </c>
      <c r="H45" s="6">
        <v>0.217</v>
      </c>
      <c r="I45" s="6">
        <v>0.255</v>
      </c>
      <c r="J45">
        <v>3.1</v>
      </c>
      <c r="K45">
        <f>SUM(D45:D46)+D47/2</f>
        <v>0.8</v>
      </c>
      <c r="L45" s="29">
        <f t="shared" ref="L45:M45" si="3">SUM(E45:E46)+E47/2</f>
        <v>386415.3821032088</v>
      </c>
      <c r="M45" s="29">
        <f t="shared" si="3"/>
        <v>32296.136310147769</v>
      </c>
      <c r="N45">
        <f>I44</f>
        <v>0.255</v>
      </c>
      <c r="O45" s="28">
        <f>(L45*0.000001)/(1629*(K45*0.001))</f>
        <v>0.29651272414303925</v>
      </c>
      <c r="P45" s="28">
        <f>(L45-M45)/L45</f>
        <v>0.91642119386044085</v>
      </c>
      <c r="Q45" s="28">
        <f>O45*P45</f>
        <v>0.27173054465397561</v>
      </c>
      <c r="S45">
        <f>SUM(D42:D63)</f>
        <v>14.6</v>
      </c>
      <c r="T45" s="29">
        <f t="shared" ref="T45:U45" si="4">SUM(E42:E63)</f>
        <v>11058120.565453723</v>
      </c>
      <c r="U45" s="29">
        <f t="shared" si="4"/>
        <v>5362473.1079658465</v>
      </c>
      <c r="V45" s="28">
        <f>(T45*0.000001)/(1629*(S45*0.001))</f>
        <v>0.46495120821470948</v>
      </c>
      <c r="W45" s="28">
        <f>(T45-U45)/T45</f>
        <v>0.51506469148848344</v>
      </c>
      <c r="X45" s="28">
        <f>V45*W45</f>
        <v>0.23947995061630697</v>
      </c>
    </row>
    <row r="46" spans="1:24" x14ac:dyDescent="0.2">
      <c r="A46" s="6"/>
      <c r="B46" s="7">
        <v>43361.568287037036</v>
      </c>
      <c r="C46" s="20"/>
      <c r="D46" s="6">
        <v>0.8</v>
      </c>
      <c r="E46" s="6">
        <v>187742.56041899399</v>
      </c>
      <c r="F46" s="6">
        <v>21334.558381022998</v>
      </c>
      <c r="G46" s="6">
        <v>0.23200000000000001</v>
      </c>
      <c r="H46" s="6">
        <v>0.217</v>
      </c>
      <c r="I46" s="6">
        <v>0.255</v>
      </c>
    </row>
    <row r="47" spans="1:24" x14ac:dyDescent="0.2">
      <c r="A47" s="4"/>
      <c r="B47" s="18">
        <v>43361.578703703701</v>
      </c>
      <c r="C47" s="21"/>
      <c r="D47" s="4">
        <v>0</v>
      </c>
      <c r="E47" s="4">
        <v>349424.09965148399</v>
      </c>
      <c r="F47" s="4">
        <v>16476.176358645698</v>
      </c>
      <c r="G47" s="4">
        <v>0.23200000000000001</v>
      </c>
      <c r="H47" s="4">
        <v>0.217</v>
      </c>
      <c r="I47" s="4">
        <v>0.255</v>
      </c>
      <c r="J47" s="4">
        <v>3.2</v>
      </c>
      <c r="K47">
        <f>D47/2+SUM(D48:D51)+D52/2</f>
        <v>8.2999999999999989</v>
      </c>
      <c r="L47" s="29">
        <f t="shared" ref="L47:M47" si="5">E47/2+SUM(E48:E51)+E52/2</f>
        <v>6040077.3787522763</v>
      </c>
      <c r="M47" s="29">
        <f t="shared" si="5"/>
        <v>2814959.3373408127</v>
      </c>
      <c r="N47">
        <f>I46</f>
        <v>0.255</v>
      </c>
      <c r="O47" s="28">
        <f>(L47*0.000001)/(1629*(K47*0.001))</f>
        <v>0.4467281559943107</v>
      </c>
      <c r="P47" s="28">
        <f>(L47-M47)/L47</f>
        <v>0.5339531001302652</v>
      </c>
      <c r="Q47" s="28">
        <f>O47*P47</f>
        <v>0.23853188380863891</v>
      </c>
    </row>
    <row r="48" spans="1:24" x14ac:dyDescent="0.2">
      <c r="A48" s="8"/>
      <c r="B48" s="9">
        <v>43361.589120370372</v>
      </c>
      <c r="C48" s="22"/>
      <c r="D48" s="8">
        <v>0.8</v>
      </c>
      <c r="E48" s="8">
        <v>404352.082235721</v>
      </c>
      <c r="F48" s="8">
        <v>56951.170313115799</v>
      </c>
      <c r="G48" s="8">
        <v>0.318</v>
      </c>
      <c r="H48" s="8">
        <v>0.28999999999999998</v>
      </c>
      <c r="I48" s="8">
        <v>0.27900000000000003</v>
      </c>
    </row>
    <row r="49" spans="1:17" x14ac:dyDescent="0.2">
      <c r="A49" s="8"/>
      <c r="B49" s="9">
        <v>43361.599537037036</v>
      </c>
      <c r="C49" s="22"/>
      <c r="D49" s="8">
        <v>2.8</v>
      </c>
      <c r="E49" s="8">
        <v>1397992.2093467501</v>
      </c>
      <c r="F49" s="8">
        <v>587939.58903096197</v>
      </c>
      <c r="G49" s="8">
        <v>0.32</v>
      </c>
      <c r="H49" s="8">
        <v>0.29199999999999998</v>
      </c>
      <c r="I49" s="8">
        <v>0.28000000000000003</v>
      </c>
    </row>
    <row r="50" spans="1:17" x14ac:dyDescent="0.2">
      <c r="A50" s="8"/>
      <c r="B50" s="9">
        <v>43361.609953703701</v>
      </c>
      <c r="C50" s="22"/>
      <c r="D50" s="8">
        <v>2</v>
      </c>
      <c r="E50" s="8">
        <v>1926288.62507887</v>
      </c>
      <c r="F50" s="8">
        <v>1061509.1282919</v>
      </c>
      <c r="G50" s="8">
        <v>0.314</v>
      </c>
      <c r="H50" s="8">
        <v>0.29599999999999999</v>
      </c>
      <c r="I50" s="8">
        <v>0.28100000000000003</v>
      </c>
    </row>
    <row r="51" spans="1:17" x14ac:dyDescent="0.2">
      <c r="A51" s="8"/>
      <c r="B51" s="9">
        <v>43361.620370370372</v>
      </c>
      <c r="C51" s="22"/>
      <c r="D51" s="8">
        <v>2.6</v>
      </c>
      <c r="E51" s="8">
        <v>1934503.9998347999</v>
      </c>
      <c r="F51" s="8">
        <v>987937.75936589402</v>
      </c>
      <c r="G51" s="8">
        <v>0.308</v>
      </c>
      <c r="H51" s="8">
        <v>0.29699999999999999</v>
      </c>
      <c r="I51" s="8">
        <v>0.28199999999999997</v>
      </c>
    </row>
    <row r="52" spans="1:17" x14ac:dyDescent="0.2">
      <c r="A52" s="4"/>
      <c r="B52" s="18">
        <v>43361.630787037036</v>
      </c>
      <c r="C52" s="21"/>
      <c r="D52" s="4">
        <v>0.2</v>
      </c>
      <c r="E52" s="4">
        <v>404456.82486078702</v>
      </c>
      <c r="F52" s="4">
        <v>224767.20431923601</v>
      </c>
      <c r="G52" s="4">
        <v>0.307</v>
      </c>
      <c r="H52" s="4">
        <v>0.29799999999999999</v>
      </c>
      <c r="I52" s="4">
        <v>0.28399999999999997</v>
      </c>
      <c r="J52" s="4">
        <v>3.3</v>
      </c>
      <c r="K52">
        <f>D52/2+SUM(D53:D59)</f>
        <v>5.5</v>
      </c>
      <c r="L52">
        <f t="shared" ref="L52:M52" si="6">E52/2+SUM(E53:E59)</f>
        <v>4366594.6288949139</v>
      </c>
      <c r="M52">
        <f t="shared" si="6"/>
        <v>2497963.5006795013</v>
      </c>
      <c r="N52">
        <f>I51</f>
        <v>0.28199999999999997</v>
      </c>
      <c r="O52" s="28">
        <f>(L52*0.000001)/(1629*(K52*0.001))</f>
        <v>0.48737034755230918</v>
      </c>
      <c r="P52" s="28">
        <f>(L52-M52)/L52</f>
        <v>0.42793785249727218</v>
      </c>
      <c r="Q52" s="28">
        <f>O52*P52</f>
        <v>0.20856421990238436</v>
      </c>
    </row>
    <row r="53" spans="1:17" x14ac:dyDescent="0.2">
      <c r="A53" s="10"/>
      <c r="B53" s="11">
        <v>43361.641203703701</v>
      </c>
      <c r="C53" s="23"/>
      <c r="D53" s="10">
        <v>1</v>
      </c>
      <c r="E53" s="10">
        <v>406946.48260801501</v>
      </c>
      <c r="F53" s="10">
        <v>119366.556940821</v>
      </c>
      <c r="G53" s="10">
        <v>0.31</v>
      </c>
      <c r="H53" s="10">
        <v>0.3</v>
      </c>
      <c r="I53" s="10">
        <v>0.28499999999999998</v>
      </c>
    </row>
    <row r="54" spans="1:17" x14ac:dyDescent="0.2">
      <c r="A54" s="10"/>
      <c r="B54" s="11">
        <v>43361.651620370372</v>
      </c>
      <c r="C54" s="23"/>
      <c r="D54" s="10">
        <v>1.2</v>
      </c>
      <c r="E54" s="10">
        <v>804273.03624098201</v>
      </c>
      <c r="F54" s="10">
        <v>667185.21409201296</v>
      </c>
      <c r="G54" s="10">
        <v>0.32100000000000001</v>
      </c>
      <c r="H54" s="10">
        <v>0.30099999999999999</v>
      </c>
      <c r="I54" s="10">
        <v>0.28499999999999998</v>
      </c>
    </row>
    <row r="55" spans="1:17" x14ac:dyDescent="0.2">
      <c r="A55" s="10"/>
      <c r="B55" s="11">
        <v>43361.662037037036</v>
      </c>
      <c r="C55" s="23"/>
      <c r="D55" s="10">
        <v>1.8</v>
      </c>
      <c r="E55" s="10">
        <v>1346647.5953625401</v>
      </c>
      <c r="F55" s="10">
        <v>748351.40961206798</v>
      </c>
      <c r="G55" s="10">
        <v>0.315</v>
      </c>
      <c r="H55" s="10">
        <v>0.30199999999999999</v>
      </c>
      <c r="I55" s="10">
        <v>0.28699999999999998</v>
      </c>
    </row>
    <row r="56" spans="1:17" x14ac:dyDescent="0.2">
      <c r="A56" s="10"/>
      <c r="B56" s="11">
        <v>43361.672453703701</v>
      </c>
      <c r="C56" s="23"/>
      <c r="D56" s="10">
        <v>0.2</v>
      </c>
      <c r="E56" s="10">
        <v>500241.170240028</v>
      </c>
      <c r="F56" s="10">
        <v>341506.62849061599</v>
      </c>
      <c r="G56" s="10">
        <v>0.316</v>
      </c>
      <c r="H56" s="10">
        <v>0.30199999999999999</v>
      </c>
      <c r="I56" s="10">
        <v>0.28799999999999998</v>
      </c>
      <c r="O56" s="28"/>
      <c r="P56" s="28"/>
      <c r="Q56" s="28"/>
    </row>
    <row r="57" spans="1:17" x14ac:dyDescent="0.2">
      <c r="A57" s="10"/>
      <c r="B57" s="11">
        <v>43361.682870370372</v>
      </c>
      <c r="C57" s="23"/>
      <c r="D57" s="10">
        <v>0.4</v>
      </c>
      <c r="E57" s="10">
        <v>290703.08161140798</v>
      </c>
      <c r="F57" s="10">
        <v>24747.450438578398</v>
      </c>
      <c r="G57" s="10">
        <v>0.317</v>
      </c>
      <c r="H57" s="10">
        <v>0.30299999999999999</v>
      </c>
      <c r="I57" s="10">
        <v>0.28899999999999998</v>
      </c>
    </row>
    <row r="58" spans="1:17" x14ac:dyDescent="0.2">
      <c r="A58" s="10"/>
      <c r="B58" s="11">
        <v>43361.693287037036</v>
      </c>
      <c r="C58" s="23"/>
      <c r="D58" s="10">
        <v>0.8</v>
      </c>
      <c r="E58" s="10">
        <v>615059.20090351906</v>
      </c>
      <c r="F58" s="10">
        <v>421392.27984294598</v>
      </c>
      <c r="G58" s="10">
        <v>0.32100000000000001</v>
      </c>
      <c r="H58" s="10">
        <v>0.30399999999999999</v>
      </c>
      <c r="I58" s="10">
        <v>0.28899999999999998</v>
      </c>
    </row>
    <row r="59" spans="1:17" x14ac:dyDescent="0.2">
      <c r="A59" s="10"/>
      <c r="B59" s="11">
        <v>43361.703703703701</v>
      </c>
      <c r="C59" s="23"/>
      <c r="D59" s="10">
        <v>0</v>
      </c>
      <c r="E59" s="10">
        <v>200495.64949802801</v>
      </c>
      <c r="F59" s="10">
        <v>63030.359102840899</v>
      </c>
      <c r="G59" s="10">
        <v>0.318</v>
      </c>
      <c r="H59" s="10">
        <v>0.30399999999999999</v>
      </c>
      <c r="I59" s="10">
        <v>0.29099999999999998</v>
      </c>
    </row>
    <row r="60" spans="1:17" x14ac:dyDescent="0.2">
      <c r="B60" s="3">
        <v>43361.714120370372</v>
      </c>
      <c r="C60" s="19"/>
      <c r="D60">
        <v>0</v>
      </c>
      <c r="E60">
        <v>132494.586905142</v>
      </c>
      <c r="F60">
        <v>8641.4072525594402</v>
      </c>
      <c r="G60">
        <v>0.32200000000000001</v>
      </c>
      <c r="H60">
        <v>0.30499999999999999</v>
      </c>
      <c r="I60">
        <v>0.29099999999999998</v>
      </c>
    </row>
    <row r="61" spans="1:17" x14ac:dyDescent="0.2">
      <c r="B61" s="3">
        <v>43361.724537037036</v>
      </c>
      <c r="C61" s="19"/>
      <c r="D61">
        <v>0</v>
      </c>
      <c r="E61">
        <v>132538.58879817999</v>
      </c>
      <c r="F61">
        <v>8612.7263828264695</v>
      </c>
      <c r="G61">
        <v>0.32600000000000001</v>
      </c>
      <c r="H61">
        <v>0.30299999999999999</v>
      </c>
      <c r="I61">
        <v>0.29199999999999998</v>
      </c>
    </row>
    <row r="62" spans="1:17" x14ac:dyDescent="0.2">
      <c r="B62" s="3">
        <v>43361.734953703701</v>
      </c>
      <c r="C62" s="19"/>
      <c r="D62">
        <v>0</v>
      </c>
      <c r="E62">
        <v>0</v>
      </c>
      <c r="F62">
        <v>0</v>
      </c>
      <c r="G62">
        <v>0.312</v>
      </c>
      <c r="H62">
        <v>0.30199999999999999</v>
      </c>
      <c r="I62">
        <v>0.29299999999999998</v>
      </c>
    </row>
    <row r="63" spans="1:17" x14ac:dyDescent="0.2">
      <c r="B63" s="3">
        <v>43361.745370370372</v>
      </c>
      <c r="C63" s="19"/>
      <c r="D63">
        <v>0</v>
      </c>
      <c r="E63">
        <v>0</v>
      </c>
      <c r="F63">
        <v>0</v>
      </c>
      <c r="G63">
        <v>0.28299999999999997</v>
      </c>
      <c r="H63">
        <v>0.30099999999999999</v>
      </c>
      <c r="I63">
        <v>0.29399999999999998</v>
      </c>
    </row>
    <row r="65" spans="1:24" x14ac:dyDescent="0.2">
      <c r="A65" s="1" t="s">
        <v>10</v>
      </c>
      <c r="B65" s="3">
        <v>42880.270833333336</v>
      </c>
      <c r="C65" s="19"/>
      <c r="D65">
        <v>0</v>
      </c>
      <c r="E65">
        <v>0</v>
      </c>
      <c r="F65">
        <v>0</v>
      </c>
    </row>
    <row r="66" spans="1:24" x14ac:dyDescent="0.2">
      <c r="B66" s="3">
        <v>42880.28125</v>
      </c>
      <c r="C66" s="19"/>
      <c r="D66">
        <v>0</v>
      </c>
      <c r="E66">
        <v>0</v>
      </c>
      <c r="F66">
        <v>0</v>
      </c>
      <c r="G66">
        <v>0.28899999999999998</v>
      </c>
      <c r="H66">
        <v>0.24099999999999999</v>
      </c>
      <c r="I66">
        <v>0.27200000000000002</v>
      </c>
    </row>
    <row r="67" spans="1:24" x14ac:dyDescent="0.2">
      <c r="A67" s="6"/>
      <c r="B67" s="7">
        <v>42880.291666666664</v>
      </c>
      <c r="C67" s="20"/>
      <c r="D67" s="6">
        <v>0</v>
      </c>
      <c r="E67" s="6">
        <v>0</v>
      </c>
      <c r="F67" s="6">
        <v>0</v>
      </c>
      <c r="G67" s="6">
        <v>0.28899999999999998</v>
      </c>
      <c r="H67" s="6">
        <v>0.24099999999999999</v>
      </c>
      <c r="I67" s="6">
        <v>0.27200000000000002</v>
      </c>
      <c r="J67">
        <v>4.0999999999999996</v>
      </c>
      <c r="K67" s="30">
        <f>SUM(D67:D68)+D69/2</f>
        <v>0.50800000000000001</v>
      </c>
      <c r="L67" s="29">
        <f t="shared" ref="L67:M67" si="7">SUM(E67:E68)+E69/2</f>
        <v>96354.111077662703</v>
      </c>
      <c r="M67" s="29">
        <f t="shared" si="7"/>
        <v>12668.063237634986</v>
      </c>
      <c r="N67">
        <f>I66</f>
        <v>0.27200000000000002</v>
      </c>
      <c r="O67" s="28">
        <f>(L67*0.000001)/(1629*(K67*0.001))</f>
        <v>0.11643551074479623</v>
      </c>
      <c r="P67" s="28">
        <f>(L67-M67)/L67</f>
        <v>0.86852597054811331</v>
      </c>
      <c r="Q67" s="28">
        <f>O67*P67</f>
        <v>0.10112726497588942</v>
      </c>
      <c r="S67" s="30">
        <f>SUM(D65:D98)</f>
        <v>17.119599999999988</v>
      </c>
      <c r="T67" s="29">
        <f t="shared" ref="T67:U67" si="8">SUM(E65:E98)</f>
        <v>12917468.364427112</v>
      </c>
      <c r="U67" s="29">
        <f t="shared" si="8"/>
        <v>4744851.167219528</v>
      </c>
      <c r="V67" s="28">
        <f>(T67*0.000001)/(1629*(S67*0.001))</f>
        <v>0.46319376966716852</v>
      </c>
      <c r="W67" s="28">
        <f>(T67-U67)/T67</f>
        <v>0.63267948228259807</v>
      </c>
      <c r="X67" s="28">
        <f>V67*W67</f>
        <v>0.29305319438954913</v>
      </c>
    </row>
    <row r="68" spans="1:24" x14ac:dyDescent="0.2">
      <c r="A68" s="6"/>
      <c r="B68" s="7">
        <v>42880.302083333336</v>
      </c>
      <c r="C68" s="20"/>
      <c r="D68" s="6">
        <v>0.40639999999999998</v>
      </c>
      <c r="E68" s="6">
        <v>63501.004850725098</v>
      </c>
      <c r="F68" s="6">
        <v>8362.2643022087104</v>
      </c>
      <c r="G68" s="6">
        <v>0.28799999999999998</v>
      </c>
      <c r="H68" s="6">
        <v>0.24099999999999999</v>
      </c>
      <c r="I68" s="6">
        <v>0.27200000000000002</v>
      </c>
    </row>
    <row r="69" spans="1:24" x14ac:dyDescent="0.2">
      <c r="A69" s="4"/>
      <c r="B69" s="18">
        <v>42880.3125</v>
      </c>
      <c r="C69" s="21"/>
      <c r="D69" s="4">
        <v>0.20319999999999999</v>
      </c>
      <c r="E69" s="4">
        <v>65706.212453875196</v>
      </c>
      <c r="F69" s="4">
        <v>8611.5978708525508</v>
      </c>
      <c r="G69" s="4">
        <v>0.28799999999999998</v>
      </c>
      <c r="H69" s="4">
        <v>0.24099999999999999</v>
      </c>
      <c r="I69" s="4">
        <v>0.27200000000000002</v>
      </c>
      <c r="J69" s="4">
        <v>4.2</v>
      </c>
      <c r="K69" s="30">
        <f>D69/2+SUM(D70:D73)+D74/2</f>
        <v>2.8193999999999999</v>
      </c>
      <c r="L69" s="29">
        <f t="shared" ref="L69:M69" si="9">E69/2+SUM(E70:E73)+E74/2</f>
        <v>1396051.4240265777</v>
      </c>
      <c r="M69" s="29">
        <f t="shared" si="9"/>
        <v>429455.08389441296</v>
      </c>
      <c r="N69">
        <f>I68</f>
        <v>0.27200000000000002</v>
      </c>
      <c r="O69" s="28">
        <f>(L69*0.000001)/(1629*(K69*0.001))</f>
        <v>0.30396503956572779</v>
      </c>
      <c r="P69" s="28">
        <f>(L69-M69)/L69</f>
        <v>0.69237875016397887</v>
      </c>
      <c r="Q69" s="28">
        <f>O69*P69</f>
        <v>0.210458934188063</v>
      </c>
    </row>
    <row r="70" spans="1:24" x14ac:dyDescent="0.2">
      <c r="A70" s="8"/>
      <c r="B70" s="9">
        <v>42880.322916666664</v>
      </c>
      <c r="C70" s="22"/>
      <c r="D70" s="8">
        <v>0.40639999999999998</v>
      </c>
      <c r="E70" s="8">
        <v>73322.218730146895</v>
      </c>
      <c r="F70" s="8">
        <v>8611.5978708525508</v>
      </c>
      <c r="G70" s="8">
        <v>0.29199999999999998</v>
      </c>
      <c r="H70" s="8">
        <v>0.25</v>
      </c>
      <c r="I70" s="8">
        <v>0.27300000000000002</v>
      </c>
    </row>
    <row r="71" spans="1:24" x14ac:dyDescent="0.2">
      <c r="A71" s="8"/>
      <c r="B71" s="9">
        <v>42880.333333333336</v>
      </c>
      <c r="C71" s="22"/>
      <c r="D71" s="8">
        <v>0.60960000000000003</v>
      </c>
      <c r="E71" s="8">
        <v>101909.13335076001</v>
      </c>
      <c r="F71" s="8">
        <v>8611.5978708525508</v>
      </c>
      <c r="G71" s="8">
        <v>0.309</v>
      </c>
      <c r="H71" s="8">
        <v>0.27800000000000002</v>
      </c>
      <c r="I71" s="8">
        <v>0.27300000000000002</v>
      </c>
    </row>
    <row r="72" spans="1:24" x14ac:dyDescent="0.2">
      <c r="A72" s="8"/>
      <c r="B72" s="9">
        <v>42880.34375</v>
      </c>
      <c r="C72" s="22"/>
      <c r="D72" s="8">
        <v>1.1938</v>
      </c>
      <c r="E72" s="8">
        <v>513202.29240300902</v>
      </c>
      <c r="F72" s="8">
        <v>153755.45424958499</v>
      </c>
      <c r="G72" s="8">
        <v>0.316</v>
      </c>
      <c r="H72" s="8">
        <v>0.27800000000000002</v>
      </c>
      <c r="I72" s="8">
        <v>0.27300000000000002</v>
      </c>
    </row>
    <row r="73" spans="1:24" x14ac:dyDescent="0.2">
      <c r="A73" s="8"/>
      <c r="B73" s="9">
        <v>42880.354166666664</v>
      </c>
      <c r="C73" s="22"/>
      <c r="D73" s="8">
        <v>0.40639999999999998</v>
      </c>
      <c r="E73" s="8">
        <v>575202.147202519</v>
      </c>
      <c r="F73" s="8">
        <v>223509.03125348399</v>
      </c>
      <c r="G73" s="8">
        <v>0.31</v>
      </c>
      <c r="H73" s="8">
        <v>0.27900000000000003</v>
      </c>
      <c r="I73" s="8">
        <v>0.27600000000000002</v>
      </c>
    </row>
    <row r="74" spans="1:24" x14ac:dyDescent="0.2">
      <c r="A74" s="4"/>
      <c r="B74" s="18">
        <v>42880.364583333336</v>
      </c>
      <c r="C74" s="21"/>
      <c r="D74" s="4">
        <v>0.20319999999999999</v>
      </c>
      <c r="E74" s="4">
        <v>199125.05222641001</v>
      </c>
      <c r="F74" s="4">
        <v>61323.207428425201</v>
      </c>
      <c r="G74" s="4">
        <v>0.31</v>
      </c>
      <c r="H74" s="4">
        <v>0.28000000000000003</v>
      </c>
      <c r="I74" s="4">
        <v>0.27600000000000002</v>
      </c>
      <c r="J74" s="4">
        <v>4.3</v>
      </c>
      <c r="K74" s="30">
        <f>D74/2+SUM(D75:D76)+D77/2</f>
        <v>2.4130000000000003</v>
      </c>
      <c r="L74" s="29">
        <f t="shared" ref="L74:M74" si="10">E74/2+SUM(E75:E76)+E77/2</f>
        <v>1403753.9259042139</v>
      </c>
      <c r="M74" s="29">
        <f t="shared" si="10"/>
        <v>522059.70516281895</v>
      </c>
      <c r="N74">
        <f>I73</f>
        <v>0.27600000000000002</v>
      </c>
      <c r="O74" s="28">
        <f>(L74*0.000001)/(1629*(K74*0.001))</f>
        <v>0.35711868821462361</v>
      </c>
      <c r="P74" s="28">
        <f>(L74-M74)/L74</f>
        <v>0.62809742111564215</v>
      </c>
      <c r="Q74" s="28">
        <f>O74*P74</f>
        <v>0.22430532709980616</v>
      </c>
    </row>
    <row r="75" spans="1:24" x14ac:dyDescent="0.2">
      <c r="A75" s="10"/>
      <c r="B75" s="11">
        <v>42880.375</v>
      </c>
      <c r="C75" s="23"/>
      <c r="D75" s="10">
        <v>0.60960000000000003</v>
      </c>
      <c r="E75" s="10">
        <v>143153.782041247</v>
      </c>
      <c r="F75" s="10">
        <v>8726.4379148183598</v>
      </c>
      <c r="G75" s="10">
        <v>0.316</v>
      </c>
      <c r="H75" s="10">
        <v>0.28399999999999997</v>
      </c>
      <c r="I75" s="10">
        <v>0.27700000000000002</v>
      </c>
    </row>
    <row r="76" spans="1:24" x14ac:dyDescent="0.2">
      <c r="A76" s="10"/>
      <c r="B76" s="11">
        <v>42880.385416666664</v>
      </c>
      <c r="C76" s="23"/>
      <c r="D76" s="10">
        <v>1.397</v>
      </c>
      <c r="E76" s="10">
        <v>850168.52413306502</v>
      </c>
      <c r="F76" s="10">
        <v>343078.20668721601</v>
      </c>
      <c r="G76" s="10">
        <v>0.32100000000000001</v>
      </c>
      <c r="H76" s="10">
        <v>0.28399999999999997</v>
      </c>
      <c r="I76" s="10">
        <v>0.27700000000000002</v>
      </c>
    </row>
    <row r="77" spans="1:24" x14ac:dyDescent="0.2">
      <c r="A77" s="4"/>
      <c r="B77" s="18">
        <v>42880.395833333336</v>
      </c>
      <c r="C77" s="21"/>
      <c r="D77" s="4">
        <v>0.60960000000000003</v>
      </c>
      <c r="E77" s="4">
        <v>621738.18723339401</v>
      </c>
      <c r="F77" s="4">
        <v>279186.91369314399</v>
      </c>
      <c r="G77" s="4">
        <v>0.313</v>
      </c>
      <c r="H77" s="4">
        <v>0.28399999999999997</v>
      </c>
      <c r="I77" s="4">
        <v>0.27800000000000002</v>
      </c>
      <c r="J77" s="4">
        <v>4.4000000000000004</v>
      </c>
      <c r="K77" s="30">
        <f>D77/2+SUM(D78:D82)+D83/2</f>
        <v>3.606799999999998</v>
      </c>
      <c r="L77" s="29">
        <f t="shared" ref="L77:M77" si="11">E77/2+SUM(E78:E82)+E83/2</f>
        <v>3293142.1337545812</v>
      </c>
      <c r="M77" s="29">
        <f t="shared" si="11"/>
        <v>1319318.5443265121</v>
      </c>
      <c r="N77">
        <f>I76</f>
        <v>0.27700000000000002</v>
      </c>
      <c r="O77" s="28">
        <f>(L77*0.000001)/(1629*(K77*0.001))</f>
        <v>0.56048930523542539</v>
      </c>
      <c r="P77" s="28">
        <f>(L77-M77)/L77</f>
        <v>0.59937394417217904</v>
      </c>
      <c r="Q77" s="28">
        <f>O77*P77</f>
        <v>0.33594268554528128</v>
      </c>
    </row>
    <row r="78" spans="1:24" x14ac:dyDescent="0.2">
      <c r="A78" s="14"/>
      <c r="B78" s="15">
        <v>42880.40625</v>
      </c>
      <c r="C78" s="24"/>
      <c r="D78" s="14">
        <v>0.99059999999999904</v>
      </c>
      <c r="E78" s="14">
        <v>655823.41946007998</v>
      </c>
      <c r="F78" s="14">
        <v>252933.07830599899</v>
      </c>
      <c r="G78" s="14">
        <v>0.31</v>
      </c>
      <c r="H78" s="14">
        <v>0.28299999999999997</v>
      </c>
      <c r="I78" s="14">
        <v>0.27800000000000002</v>
      </c>
    </row>
    <row r="79" spans="1:24" x14ac:dyDescent="0.2">
      <c r="A79" s="14"/>
      <c r="B79" s="15">
        <v>42880.416666666664</v>
      </c>
      <c r="C79" s="24"/>
      <c r="D79" s="14">
        <v>0.99059999999999904</v>
      </c>
      <c r="E79" s="14">
        <v>905880.70276852301</v>
      </c>
      <c r="F79" s="14">
        <v>423125.43158059102</v>
      </c>
      <c r="G79" s="14">
        <v>0.313</v>
      </c>
      <c r="H79" s="14">
        <v>0.28399999999999997</v>
      </c>
      <c r="I79" s="14">
        <v>0.27800000000000002</v>
      </c>
    </row>
    <row r="80" spans="1:24" x14ac:dyDescent="0.2">
      <c r="A80" s="14"/>
      <c r="B80" s="15">
        <v>42880.427083333336</v>
      </c>
      <c r="C80" s="24"/>
      <c r="D80" s="14">
        <v>0.60960000000000003</v>
      </c>
      <c r="E80" s="14">
        <v>637753.61221331602</v>
      </c>
      <c r="F80" s="14">
        <v>254000.58439420699</v>
      </c>
      <c r="G80" s="14">
        <v>0.313</v>
      </c>
      <c r="H80" s="14">
        <v>0.28399999999999997</v>
      </c>
      <c r="I80" s="14">
        <v>0.27800000000000002</v>
      </c>
    </row>
    <row r="81" spans="1:17" x14ac:dyDescent="0.2">
      <c r="A81" s="14"/>
      <c r="B81" s="15">
        <v>42880.4375</v>
      </c>
      <c r="C81" s="24"/>
      <c r="D81" s="14">
        <v>0.20319999999999999</v>
      </c>
      <c r="E81" s="14">
        <v>389363.76864464697</v>
      </c>
      <c r="F81" s="14">
        <v>144686.596529225</v>
      </c>
      <c r="G81" s="14">
        <v>0.311</v>
      </c>
      <c r="H81" s="14">
        <v>0.28399999999999997</v>
      </c>
      <c r="I81" s="14">
        <v>0.27800000000000002</v>
      </c>
    </row>
    <row r="82" spans="1:17" x14ac:dyDescent="0.2">
      <c r="A82" s="14"/>
      <c r="B82" s="15">
        <v>42880.447916666664</v>
      </c>
      <c r="C82" s="24"/>
      <c r="D82" s="14">
        <v>0.40639999999999998</v>
      </c>
      <c r="E82" s="14">
        <v>194130.81850111199</v>
      </c>
      <c r="F82" s="14">
        <v>41147.457157821198</v>
      </c>
      <c r="G82" s="14">
        <v>0.311</v>
      </c>
      <c r="H82" s="14">
        <v>0.28399999999999997</v>
      </c>
      <c r="I82" s="14">
        <v>0.27800000000000002</v>
      </c>
    </row>
    <row r="83" spans="1:17" x14ac:dyDescent="0.2">
      <c r="A83" s="4"/>
      <c r="B83" s="18">
        <v>42880.458333333336</v>
      </c>
      <c r="C83" s="21"/>
      <c r="D83" s="4">
        <v>0.20319999999999999</v>
      </c>
      <c r="E83" s="4">
        <v>398641.43710041197</v>
      </c>
      <c r="F83" s="4">
        <v>127663.879024194</v>
      </c>
      <c r="G83" s="4">
        <v>0.316</v>
      </c>
      <c r="H83" s="4">
        <v>0.28799999999999998</v>
      </c>
      <c r="I83" s="4">
        <v>0.27800000000000002</v>
      </c>
      <c r="J83" s="4">
        <v>4.5</v>
      </c>
      <c r="K83" s="30">
        <f>D83/2+SUM(D84:D96)</f>
        <v>7.7723999999999895</v>
      </c>
      <c r="L83" s="29">
        <f t="shared" ref="L83:M83" si="12">E83/2+SUM(E84:E96)</f>
        <v>6728166.7696640734</v>
      </c>
      <c r="M83" s="29">
        <f t="shared" si="12"/>
        <v>2461349.7705981485</v>
      </c>
      <c r="N83">
        <f>I82</f>
        <v>0.27800000000000002</v>
      </c>
      <c r="O83" s="28">
        <f>(L83*0.000001)/(1629*(K83*0.001))</f>
        <v>0.53139873995150377</v>
      </c>
      <c r="P83" s="28">
        <f>(L83-M83)/L83</f>
        <v>0.63417230058923757</v>
      </c>
      <c r="Q83" s="28">
        <f>O83*P83</f>
        <v>0.33699836144526713</v>
      </c>
    </row>
    <row r="84" spans="1:17" x14ac:dyDescent="0.2">
      <c r="A84" s="12"/>
      <c r="B84" s="13">
        <v>42880.46875</v>
      </c>
      <c r="C84" s="26"/>
      <c r="D84" s="12">
        <v>0.40639999999999998</v>
      </c>
      <c r="E84" s="12">
        <v>180426.378666387</v>
      </c>
      <c r="F84" s="12">
        <v>38923.8233530039</v>
      </c>
      <c r="G84" s="12">
        <v>0.312</v>
      </c>
      <c r="H84" s="12">
        <v>0.28499999999999998</v>
      </c>
      <c r="I84" s="12">
        <v>0.27800000000000002</v>
      </c>
    </row>
    <row r="85" spans="1:17" x14ac:dyDescent="0.2">
      <c r="A85" s="12"/>
      <c r="B85" s="13">
        <v>42880.479166666664</v>
      </c>
      <c r="C85" s="26"/>
      <c r="D85" s="12">
        <v>0.40639999999999998</v>
      </c>
      <c r="E85" s="12">
        <v>176260.49819290501</v>
      </c>
      <c r="F85" s="12">
        <v>8648.1022808917096</v>
      </c>
      <c r="G85" s="12">
        <v>0.32100000000000001</v>
      </c>
      <c r="H85" s="12">
        <v>0.28999999999999998</v>
      </c>
      <c r="I85" s="12">
        <v>0.27800000000000002</v>
      </c>
    </row>
    <row r="86" spans="1:17" x14ac:dyDescent="0.2">
      <c r="A86" s="12"/>
      <c r="B86" s="13">
        <v>42880.489583333336</v>
      </c>
      <c r="C86" s="26"/>
      <c r="D86" s="12">
        <v>0.40639999999999998</v>
      </c>
      <c r="E86" s="12">
        <v>439793.84690628003</v>
      </c>
      <c r="F86" s="12">
        <v>121195.31555277501</v>
      </c>
      <c r="G86" s="12">
        <v>0.32300000000000001</v>
      </c>
      <c r="H86" s="12">
        <v>0.29099999999999998</v>
      </c>
      <c r="I86" s="12">
        <v>0.27800000000000002</v>
      </c>
      <c r="K86" s="30"/>
    </row>
    <row r="87" spans="1:17" x14ac:dyDescent="0.2">
      <c r="A87" s="12"/>
      <c r="B87" s="13">
        <v>42880.5</v>
      </c>
      <c r="C87" s="26"/>
      <c r="D87" s="12">
        <v>0.99059999999999904</v>
      </c>
      <c r="E87" s="12">
        <v>774486.25573573401</v>
      </c>
      <c r="F87" s="12">
        <v>313915.94398098701</v>
      </c>
      <c r="G87" s="12">
        <v>0.313</v>
      </c>
      <c r="H87" s="12">
        <v>0.28599999999999998</v>
      </c>
      <c r="I87" s="12">
        <v>0.27800000000000002</v>
      </c>
    </row>
    <row r="88" spans="1:17" x14ac:dyDescent="0.2">
      <c r="A88" s="12"/>
      <c r="B88" s="13">
        <v>42880.510416666664</v>
      </c>
      <c r="C88" s="26"/>
      <c r="D88" s="12">
        <v>1.6001999999999901</v>
      </c>
      <c r="E88" s="12">
        <v>1125301.64677975</v>
      </c>
      <c r="F88" s="12">
        <v>496987.60619080497</v>
      </c>
      <c r="G88" s="12">
        <v>0.317</v>
      </c>
      <c r="H88" s="12">
        <v>0.28799999999999998</v>
      </c>
      <c r="I88" s="12">
        <v>0.27800000000000002</v>
      </c>
    </row>
    <row r="89" spans="1:17" x14ac:dyDescent="0.2">
      <c r="A89" s="12"/>
      <c r="B89" s="13">
        <v>42880.520833333336</v>
      </c>
      <c r="C89" s="26"/>
      <c r="D89" s="12">
        <v>0.81279999999999997</v>
      </c>
      <c r="E89" s="12">
        <v>876420.33156418405</v>
      </c>
      <c r="F89" s="12">
        <v>413931.33922130399</v>
      </c>
      <c r="G89" s="12">
        <v>0.31900000000000001</v>
      </c>
      <c r="H89" s="12">
        <v>0.28899999999999998</v>
      </c>
      <c r="I89" s="12">
        <v>0.27800000000000002</v>
      </c>
    </row>
    <row r="90" spans="1:17" x14ac:dyDescent="0.2">
      <c r="A90" s="12"/>
      <c r="B90" s="13">
        <v>42880.53125</v>
      </c>
      <c r="C90" s="26"/>
      <c r="D90" s="12">
        <v>0.81279999999999997</v>
      </c>
      <c r="E90" s="12">
        <v>436035.51945359301</v>
      </c>
      <c r="F90" s="12">
        <v>165768.007252579</v>
      </c>
      <c r="G90" s="12">
        <v>0.316</v>
      </c>
      <c r="H90" s="12">
        <v>0.28699999999999998</v>
      </c>
      <c r="I90" s="12">
        <v>0.27800000000000002</v>
      </c>
    </row>
    <row r="91" spans="1:17" x14ac:dyDescent="0.2">
      <c r="A91" s="12"/>
      <c r="B91" s="13">
        <v>42880.541666666664</v>
      </c>
      <c r="C91" s="26"/>
      <c r="D91" s="12">
        <v>0.81279999999999997</v>
      </c>
      <c r="E91" s="12">
        <v>1113159.5965066501</v>
      </c>
      <c r="F91" s="12">
        <v>414395.26512733998</v>
      </c>
      <c r="G91" s="12">
        <v>0.31900000000000001</v>
      </c>
      <c r="H91" s="12">
        <v>0.28899999999999998</v>
      </c>
      <c r="I91" s="12">
        <v>0.27800000000000002</v>
      </c>
    </row>
    <row r="92" spans="1:17" x14ac:dyDescent="0.2">
      <c r="A92" s="12"/>
      <c r="B92" s="13">
        <v>42880.552083333336</v>
      </c>
      <c r="C92" s="26"/>
      <c r="D92" s="12">
        <v>0.20319999999999999</v>
      </c>
      <c r="E92" s="12">
        <v>235322.234870007</v>
      </c>
      <c r="F92" s="12">
        <v>86593.933996953798</v>
      </c>
      <c r="G92" s="12">
        <v>0.316</v>
      </c>
      <c r="H92" s="12">
        <v>0.28699999999999998</v>
      </c>
      <c r="I92" s="12">
        <v>0.27800000000000002</v>
      </c>
    </row>
    <row r="93" spans="1:17" x14ac:dyDescent="0.2">
      <c r="A93" s="12"/>
      <c r="B93" s="13">
        <v>42880.5625</v>
      </c>
      <c r="C93" s="26"/>
      <c r="D93" s="12">
        <v>0.60960000000000003</v>
      </c>
      <c r="E93" s="12">
        <v>323590.95703415299</v>
      </c>
      <c r="F93" s="12">
        <v>77693.644424425496</v>
      </c>
      <c r="G93" s="12">
        <v>0.32100000000000001</v>
      </c>
      <c r="H93" s="12">
        <v>0.29099999999999998</v>
      </c>
      <c r="I93" s="12">
        <v>0.27900000000000003</v>
      </c>
    </row>
    <row r="94" spans="1:17" x14ac:dyDescent="0.2">
      <c r="A94" s="12"/>
      <c r="B94" s="13">
        <v>42880.572916666664</v>
      </c>
      <c r="C94" s="26"/>
      <c r="D94" s="12">
        <v>0.40639999999999998</v>
      </c>
      <c r="E94" s="12">
        <v>509618.65714058501</v>
      </c>
      <c r="F94" s="12">
        <v>182476.464182953</v>
      </c>
      <c r="G94" s="12">
        <v>0.316</v>
      </c>
      <c r="H94" s="12">
        <v>0.28799999999999998</v>
      </c>
      <c r="I94" s="12">
        <v>0.27800000000000002</v>
      </c>
    </row>
    <row r="95" spans="1:17" x14ac:dyDescent="0.2">
      <c r="A95" s="12"/>
      <c r="B95" s="13">
        <v>42880.583333333336</v>
      </c>
      <c r="C95" s="26"/>
      <c r="D95" s="12">
        <v>0.20319999999999999</v>
      </c>
      <c r="E95" s="12">
        <v>222976.87016833699</v>
      </c>
      <c r="F95" s="12">
        <v>68356.557980750396</v>
      </c>
      <c r="G95" s="12">
        <v>0.316</v>
      </c>
      <c r="H95" s="12">
        <v>0.28799999999999998</v>
      </c>
      <c r="I95" s="12">
        <v>0.27800000000000002</v>
      </c>
    </row>
    <row r="96" spans="1:17" x14ac:dyDescent="0.2">
      <c r="A96" s="12"/>
      <c r="B96" s="13">
        <v>42880.59375</v>
      </c>
      <c r="C96" s="26"/>
      <c r="D96" s="12">
        <v>0</v>
      </c>
      <c r="E96" s="12">
        <v>115453.258095303</v>
      </c>
      <c r="F96" s="12">
        <v>8631.8275412833009</v>
      </c>
      <c r="G96" s="12">
        <v>0.32300000000000001</v>
      </c>
      <c r="H96" s="12">
        <v>0.29199999999999998</v>
      </c>
      <c r="I96" s="12">
        <v>0.27800000000000002</v>
      </c>
    </row>
    <row r="97" spans="1:25" x14ac:dyDescent="0.2">
      <c r="B97" s="3">
        <v>42880.604166666664</v>
      </c>
      <c r="C97" s="19"/>
      <c r="D97">
        <v>0</v>
      </c>
      <c r="E97">
        <v>0</v>
      </c>
      <c r="F97">
        <v>0</v>
      </c>
      <c r="G97">
        <v>0.33300000000000002</v>
      </c>
      <c r="H97">
        <v>0.28899999999999998</v>
      </c>
      <c r="I97">
        <v>0.27800000000000002</v>
      </c>
    </row>
    <row r="98" spans="1:25" x14ac:dyDescent="0.2">
      <c r="B98" s="3">
        <v>42880.614583333336</v>
      </c>
      <c r="C98" s="19"/>
      <c r="D98">
        <v>0</v>
      </c>
      <c r="E98">
        <v>0</v>
      </c>
      <c r="F98">
        <v>0</v>
      </c>
      <c r="G98">
        <v>0.33400000000000002</v>
      </c>
      <c r="H98">
        <v>0.28699999999999998</v>
      </c>
      <c r="I98">
        <v>0.27600000000000002</v>
      </c>
    </row>
    <row r="100" spans="1:25" x14ac:dyDescent="0.2">
      <c r="A100" s="1" t="s">
        <v>11</v>
      </c>
      <c r="B100" s="3">
        <v>43614.692986111113</v>
      </c>
      <c r="C100" s="19"/>
      <c r="D100">
        <v>0</v>
      </c>
      <c r="E100">
        <v>0</v>
      </c>
      <c r="F100">
        <v>0</v>
      </c>
    </row>
    <row r="101" spans="1:25" x14ac:dyDescent="0.2">
      <c r="B101" s="3">
        <v>43614.703402777777</v>
      </c>
      <c r="C101" s="19"/>
      <c r="D101">
        <v>0</v>
      </c>
      <c r="E101">
        <v>0</v>
      </c>
      <c r="F101">
        <v>0</v>
      </c>
      <c r="G101">
        <v>0.223</v>
      </c>
      <c r="H101">
        <v>0.22800000000000001</v>
      </c>
      <c r="I101">
        <v>0.27800000000000002</v>
      </c>
    </row>
    <row r="102" spans="1:25" x14ac:dyDescent="0.2">
      <c r="B102" s="3">
        <v>43614.713819444441</v>
      </c>
      <c r="C102" s="19"/>
      <c r="D102">
        <v>0</v>
      </c>
      <c r="E102">
        <v>0</v>
      </c>
      <c r="F102">
        <v>0</v>
      </c>
      <c r="G102">
        <v>0.223</v>
      </c>
      <c r="H102">
        <v>0.22800000000000001</v>
      </c>
      <c r="I102">
        <v>0.27800000000000002</v>
      </c>
    </row>
    <row r="103" spans="1:25" x14ac:dyDescent="0.2">
      <c r="B103" s="3">
        <v>43614.724236111113</v>
      </c>
      <c r="C103" s="19"/>
      <c r="D103">
        <v>0</v>
      </c>
      <c r="E103">
        <v>26047.602428795799</v>
      </c>
      <c r="F103">
        <v>3524.2261575903999</v>
      </c>
      <c r="G103">
        <v>0.222</v>
      </c>
      <c r="H103">
        <v>0.22800000000000001</v>
      </c>
      <c r="I103">
        <v>0.27800000000000002</v>
      </c>
    </row>
    <row r="104" spans="1:25" x14ac:dyDescent="0.2">
      <c r="A104" s="16"/>
      <c r="B104" s="17">
        <v>43614.734652777777</v>
      </c>
      <c r="C104" s="25"/>
      <c r="D104" s="16">
        <v>0</v>
      </c>
      <c r="E104" s="16">
        <v>65155.284069801201</v>
      </c>
      <c r="F104" s="16">
        <v>8769.6048934589599</v>
      </c>
      <c r="G104" s="16">
        <v>0.222</v>
      </c>
      <c r="H104" s="16">
        <v>0.22800000000000001</v>
      </c>
      <c r="I104" s="16">
        <v>0.27800000000000002</v>
      </c>
      <c r="J104">
        <v>5.0999999999999996</v>
      </c>
      <c r="K104">
        <f>SUM(D104:D106)+D107/2</f>
        <v>3.6000000000000005</v>
      </c>
      <c r="L104" s="29">
        <f t="shared" ref="L104:M104" si="13">SUM(E104:E106)+E107/2</f>
        <v>3398295.9019669006</v>
      </c>
      <c r="M104" s="29">
        <f t="shared" si="13"/>
        <v>1272276.1827968634</v>
      </c>
      <c r="N104">
        <f>I103</f>
        <v>0.27800000000000002</v>
      </c>
      <c r="O104" s="28">
        <f>(L104*0.000001)/(1629*(K104*0.001))</f>
        <v>0.57947887285432431</v>
      </c>
      <c r="P104" s="28">
        <f>(L104-M104)/L104</f>
        <v>0.62561347819638591</v>
      </c>
      <c r="Q104" s="28">
        <f>O104*P104</f>
        <v>0.36252979318771511</v>
      </c>
      <c r="S104">
        <f>SUM(D100:D117)</f>
        <v>17.800000000000004</v>
      </c>
      <c r="T104" s="29">
        <f t="shared" ref="T104:U104" si="14">SUM(E100:E117)</f>
        <v>21532365.099347789</v>
      </c>
      <c r="U104" s="29">
        <f t="shared" si="14"/>
        <v>7374818.697920626</v>
      </c>
      <c r="V104" s="28">
        <f>(T104*0.000001)/(1629*(S104*0.001))</f>
        <v>0.74259265349762327</v>
      </c>
      <c r="W104" s="28">
        <f>(T104-U104)/T104</f>
        <v>0.65750075925732798</v>
      </c>
      <c r="X104" s="28">
        <f>V104*W104</f>
        <v>0.48825523349360117</v>
      </c>
      <c r="Y104" s="28"/>
    </row>
    <row r="105" spans="1:25" x14ac:dyDescent="0.2">
      <c r="A105" s="16"/>
      <c r="B105" s="17">
        <v>43614.745069444441</v>
      </c>
      <c r="C105" s="25"/>
      <c r="D105" s="16">
        <v>1.6</v>
      </c>
      <c r="E105" s="16">
        <v>262242.93987943802</v>
      </c>
      <c r="F105" s="16">
        <v>72156.905748845995</v>
      </c>
      <c r="G105" s="16">
        <v>0.222</v>
      </c>
      <c r="H105" s="16">
        <v>0.22800000000000001</v>
      </c>
      <c r="I105" s="16">
        <v>0.27800000000000002</v>
      </c>
    </row>
    <row r="106" spans="1:25" x14ac:dyDescent="0.2">
      <c r="A106" s="16"/>
      <c r="B106" s="17">
        <v>43614.755486111113</v>
      </c>
      <c r="C106" s="25"/>
      <c r="D106" s="16">
        <v>1.8</v>
      </c>
      <c r="E106" s="16">
        <v>2839465.62821835</v>
      </c>
      <c r="F106" s="16">
        <v>1026645.64661991</v>
      </c>
      <c r="G106" s="16">
        <v>0.222</v>
      </c>
      <c r="H106" s="16">
        <v>0.22800000000000001</v>
      </c>
      <c r="I106" s="16">
        <v>0.27800000000000002</v>
      </c>
    </row>
    <row r="107" spans="1:25" x14ac:dyDescent="0.2">
      <c r="A107" s="4"/>
      <c r="B107" s="18">
        <v>43614.765902777777</v>
      </c>
      <c r="C107" s="21"/>
      <c r="D107" s="4">
        <v>0.4</v>
      </c>
      <c r="E107" s="4">
        <v>462864.099598623</v>
      </c>
      <c r="F107" s="4">
        <v>329408.05106929701</v>
      </c>
      <c r="G107" s="4">
        <v>0.28899999999999998</v>
      </c>
      <c r="H107" s="4">
        <v>0.27300000000000002</v>
      </c>
      <c r="I107" s="4">
        <v>0.28399999999999997</v>
      </c>
      <c r="J107" s="4">
        <v>5.2</v>
      </c>
      <c r="K107">
        <f>D107/2+SUM(D108:D114)</f>
        <v>14.2</v>
      </c>
      <c r="L107" s="29">
        <f t="shared" ref="L107:M107" si="15">E107/2+SUM(E108:E114)</f>
        <v>18013462.370875966</v>
      </c>
      <c r="M107" s="29">
        <f t="shared" si="15"/>
        <v>6088448.0138467681</v>
      </c>
      <c r="N107">
        <f>I106</f>
        <v>0.27800000000000002</v>
      </c>
      <c r="O107" s="28">
        <f>(L107*0.000001)/(1629*(K107*0.001))</f>
        <v>0.77873154578873949</v>
      </c>
      <c r="P107" s="28">
        <f>(L107-M107)/L107</f>
        <v>0.66200567728220161</v>
      </c>
      <c r="Q107" s="28">
        <f>O107*P107</f>
        <v>0.51552470439089026</v>
      </c>
    </row>
    <row r="108" spans="1:25" x14ac:dyDescent="0.2">
      <c r="A108" s="8"/>
      <c r="B108" s="9">
        <v>43614.776319444441</v>
      </c>
      <c r="C108" s="22"/>
      <c r="D108" s="8">
        <v>2.6</v>
      </c>
      <c r="E108" s="8">
        <v>1666194.8183868399</v>
      </c>
      <c r="F108" s="8">
        <v>652275.66652603296</v>
      </c>
      <c r="G108" s="8">
        <v>0.28999999999999998</v>
      </c>
      <c r="H108" s="8">
        <v>0.27300000000000002</v>
      </c>
      <c r="I108" s="8">
        <v>0.28399999999999997</v>
      </c>
    </row>
    <row r="109" spans="1:25" x14ac:dyDescent="0.2">
      <c r="A109" s="8"/>
      <c r="B109" s="9">
        <v>43614.786736111113</v>
      </c>
      <c r="C109" s="22"/>
      <c r="D109" s="8">
        <v>7</v>
      </c>
      <c r="E109" s="8">
        <v>9757831.7779008709</v>
      </c>
      <c r="F109" s="8">
        <v>2074885.7493958999</v>
      </c>
      <c r="G109" s="8">
        <v>0.29199999999999998</v>
      </c>
      <c r="H109" s="8">
        <v>0.27</v>
      </c>
      <c r="I109" s="8">
        <v>0.28399999999999997</v>
      </c>
    </row>
    <row r="110" spans="1:25" x14ac:dyDescent="0.2">
      <c r="A110" s="8"/>
      <c r="B110" s="9">
        <v>43614.797152777777</v>
      </c>
      <c r="C110" s="22"/>
      <c r="D110" s="8">
        <v>2.4</v>
      </c>
      <c r="E110" s="8">
        <v>4301869.1647267602</v>
      </c>
      <c r="F110" s="8">
        <v>1429386.8926589701</v>
      </c>
      <c r="G110" s="8">
        <v>0.29299999999999998</v>
      </c>
      <c r="H110" s="8">
        <v>0.27</v>
      </c>
      <c r="I110" s="8">
        <v>0.28399999999999997</v>
      </c>
    </row>
    <row r="111" spans="1:25" x14ac:dyDescent="0.2">
      <c r="A111" s="8"/>
      <c r="B111" s="9">
        <v>43614.807569444441</v>
      </c>
      <c r="C111" s="22"/>
      <c r="D111" s="8">
        <v>0.8</v>
      </c>
      <c r="E111" s="8">
        <v>750774.86790889502</v>
      </c>
      <c r="F111" s="8">
        <v>713997.20412094402</v>
      </c>
      <c r="G111" s="8">
        <v>0.29199999999999998</v>
      </c>
      <c r="H111" s="8">
        <v>0.27100000000000002</v>
      </c>
      <c r="I111" s="8">
        <v>0.28399999999999997</v>
      </c>
    </row>
    <row r="112" spans="1:25" x14ac:dyDescent="0.2">
      <c r="A112" s="8"/>
      <c r="B112" s="9">
        <v>43614.817986111113</v>
      </c>
      <c r="C112" s="22"/>
      <c r="D112" s="8">
        <v>0.6</v>
      </c>
      <c r="E112" s="8">
        <v>535616.712098939</v>
      </c>
      <c r="F112" s="8">
        <v>429696.59757056599</v>
      </c>
      <c r="G112" s="8">
        <v>0.29099999999999998</v>
      </c>
      <c r="H112" s="8">
        <v>0.27300000000000002</v>
      </c>
      <c r="I112" s="8">
        <v>0.28399999999999997</v>
      </c>
    </row>
    <row r="113" spans="1:25" x14ac:dyDescent="0.2">
      <c r="A113" s="8"/>
      <c r="B113" s="9">
        <v>43614.828402777777</v>
      </c>
      <c r="C113" s="22"/>
      <c r="D113" s="8">
        <v>0.6</v>
      </c>
      <c r="E113" s="8">
        <v>499137.37846038298</v>
      </c>
      <c r="F113" s="8">
        <v>402896.15858955903</v>
      </c>
      <c r="G113" s="8">
        <v>0.29199999999999998</v>
      </c>
      <c r="H113" s="8">
        <v>0.27400000000000002</v>
      </c>
      <c r="I113" s="8">
        <v>0.28399999999999997</v>
      </c>
    </row>
    <row r="114" spans="1:25" x14ac:dyDescent="0.2">
      <c r="A114" s="8"/>
      <c r="B114" s="9">
        <v>43614.838819444441</v>
      </c>
      <c r="C114" s="22"/>
      <c r="D114" s="8">
        <v>0</v>
      </c>
      <c r="E114" s="8">
        <v>270605.60159396601</v>
      </c>
      <c r="F114" s="8">
        <v>220605.719450148</v>
      </c>
      <c r="G114" s="8">
        <v>0.29399999999999998</v>
      </c>
      <c r="H114" s="8">
        <v>0.27300000000000002</v>
      </c>
      <c r="I114" s="8">
        <v>0.28499999999999998</v>
      </c>
    </row>
    <row r="115" spans="1:25" x14ac:dyDescent="0.2">
      <c r="B115" s="3">
        <v>43614.849236111113</v>
      </c>
      <c r="C115" s="19"/>
      <c r="D115">
        <v>0</v>
      </c>
      <c r="E115">
        <v>94559.224076127706</v>
      </c>
      <c r="F115">
        <v>10570.275119403799</v>
      </c>
      <c r="G115">
        <v>0.29399999999999998</v>
      </c>
      <c r="H115">
        <v>0.27200000000000002</v>
      </c>
      <c r="I115">
        <v>0.28599999999999998</v>
      </c>
    </row>
    <row r="116" spans="1:25" x14ac:dyDescent="0.2">
      <c r="B116" s="3">
        <v>43614.859652777777</v>
      </c>
      <c r="C116" s="19"/>
      <c r="D116">
        <v>0</v>
      </c>
      <c r="E116">
        <v>0</v>
      </c>
      <c r="F116">
        <v>0</v>
      </c>
      <c r="G116">
        <v>0.29599999999999999</v>
      </c>
      <c r="H116">
        <v>0.27</v>
      </c>
      <c r="I116">
        <v>0.28599999999999998</v>
      </c>
    </row>
    <row r="117" spans="1:25" x14ac:dyDescent="0.2">
      <c r="B117" s="3">
        <v>43614.870069444441</v>
      </c>
      <c r="C117" s="19"/>
      <c r="D117">
        <v>0</v>
      </c>
      <c r="E117">
        <v>0</v>
      </c>
      <c r="F117">
        <v>0</v>
      </c>
      <c r="G117">
        <v>0.29699999999999999</v>
      </c>
      <c r="H117">
        <v>0.26900000000000002</v>
      </c>
      <c r="I117">
        <v>0.28599999999999998</v>
      </c>
    </row>
    <row r="119" spans="1:25" x14ac:dyDescent="0.2">
      <c r="A119" s="1" t="s">
        <v>12</v>
      </c>
      <c r="B119" s="3">
        <v>42965.291666666664</v>
      </c>
      <c r="C119" s="19"/>
      <c r="D119">
        <v>0</v>
      </c>
      <c r="E119">
        <v>0</v>
      </c>
      <c r="F119">
        <v>0</v>
      </c>
    </row>
    <row r="120" spans="1:25" x14ac:dyDescent="0.2">
      <c r="B120" s="3">
        <v>42965.302083333336</v>
      </c>
      <c r="C120" s="19"/>
      <c r="D120">
        <v>0</v>
      </c>
      <c r="E120">
        <v>0</v>
      </c>
      <c r="F120">
        <v>0</v>
      </c>
      <c r="G120">
        <v>0.249</v>
      </c>
      <c r="H120">
        <v>0.249</v>
      </c>
      <c r="I120">
        <v>0.25700000000000001</v>
      </c>
    </row>
    <row r="121" spans="1:25" x14ac:dyDescent="0.2">
      <c r="B121" s="3">
        <v>42965.3125</v>
      </c>
      <c r="C121" s="19"/>
      <c r="D121">
        <v>0</v>
      </c>
      <c r="E121">
        <v>0</v>
      </c>
      <c r="F121">
        <v>0</v>
      </c>
      <c r="G121">
        <v>0.249</v>
      </c>
      <c r="H121">
        <v>0.249</v>
      </c>
      <c r="I121">
        <v>0.25700000000000001</v>
      </c>
    </row>
    <row r="122" spans="1:25" x14ac:dyDescent="0.2">
      <c r="A122" s="6"/>
      <c r="B122" s="7">
        <v>42965.322916666664</v>
      </c>
      <c r="C122" s="20"/>
      <c r="D122" s="6">
        <v>0</v>
      </c>
      <c r="E122" s="6">
        <v>57827.128511839197</v>
      </c>
      <c r="F122" s="6">
        <v>7669.4045453009803</v>
      </c>
      <c r="G122" s="6">
        <v>0.249</v>
      </c>
      <c r="H122" s="6">
        <v>0.249</v>
      </c>
      <c r="I122" s="6">
        <v>0.25700000000000001</v>
      </c>
      <c r="J122">
        <v>6.1</v>
      </c>
      <c r="K122">
        <f>SUM(D122:D125)+D126/2</f>
        <v>9.0999999999999908</v>
      </c>
      <c r="L122" s="29">
        <f t="shared" ref="L122:M122" si="16">SUM(E122:E125)+E126/2</f>
        <v>7368593.3540614052</v>
      </c>
      <c r="M122" s="29">
        <f t="shared" si="16"/>
        <v>1409129.2113341882</v>
      </c>
      <c r="N122">
        <f>I121</f>
        <v>0.25700000000000001</v>
      </c>
      <c r="O122" s="28">
        <f>(L122*0.000001)/(1629*(K122*0.001))</f>
        <v>0.49707522002046772</v>
      </c>
      <c r="P122" s="28">
        <f>(L122-M122)/L122</f>
        <v>0.80876550738717212</v>
      </c>
      <c r="Q122" s="28">
        <f>O122*P122</f>
        <v>0.40201729252944379</v>
      </c>
      <c r="S122">
        <f>SUM(D119:D132)</f>
        <v>22.599999999999991</v>
      </c>
      <c r="T122" s="29">
        <f t="shared" ref="T122:U122" si="17">SUM(E119:E132)</f>
        <v>21835062.738434993</v>
      </c>
      <c r="U122" s="29">
        <f t="shared" si="17"/>
        <v>3845664.6452236688</v>
      </c>
      <c r="V122" s="28">
        <f>(T122*0.000001)/(1629*(S122*0.001))</f>
        <v>0.59309589841302823</v>
      </c>
      <c r="W122" s="28">
        <f>(T122-U122)/T122</f>
        <v>0.8238766386297407</v>
      </c>
      <c r="X122" s="28">
        <f>V122*W122</f>
        <v>0.48863785516961183</v>
      </c>
      <c r="Y122" s="28"/>
    </row>
    <row r="123" spans="1:25" x14ac:dyDescent="0.2">
      <c r="A123" s="6"/>
      <c r="B123" s="7">
        <v>42965.333333333336</v>
      </c>
      <c r="C123" s="20"/>
      <c r="D123" s="6">
        <v>0.4</v>
      </c>
      <c r="E123" s="6">
        <v>65155.284069801201</v>
      </c>
      <c r="F123" s="6">
        <v>11559.702919747901</v>
      </c>
      <c r="G123" s="6">
        <v>0.249</v>
      </c>
      <c r="H123" s="6">
        <v>0.249</v>
      </c>
      <c r="I123" s="6">
        <v>0.25700000000000001</v>
      </c>
    </row>
    <row r="124" spans="1:25" x14ac:dyDescent="0.2">
      <c r="A124" s="6"/>
      <c r="B124" s="7">
        <v>42965.34375</v>
      </c>
      <c r="C124" s="20"/>
      <c r="D124" s="6">
        <v>4.4000000000000004</v>
      </c>
      <c r="E124" s="6">
        <v>2095560.98561192</v>
      </c>
      <c r="F124" s="6">
        <v>292542.600232989</v>
      </c>
      <c r="G124" s="6">
        <v>0.248</v>
      </c>
      <c r="H124" s="6">
        <v>0.249</v>
      </c>
      <c r="I124" s="6">
        <v>0.25700000000000001</v>
      </c>
    </row>
    <row r="125" spans="1:25" x14ac:dyDescent="0.2">
      <c r="A125" s="6"/>
      <c r="B125" s="7">
        <v>42965.354166666664</v>
      </c>
      <c r="C125" s="20"/>
      <c r="D125" s="6">
        <v>3.5999999999999899</v>
      </c>
      <c r="E125" s="6">
        <v>4611914.7675401298</v>
      </c>
      <c r="F125" s="6">
        <v>972852.90471038595</v>
      </c>
      <c r="G125" s="6">
        <v>0.307</v>
      </c>
      <c r="H125" s="6">
        <v>0.28499999999999998</v>
      </c>
      <c r="I125" s="6">
        <v>0.26500000000000001</v>
      </c>
    </row>
    <row r="126" spans="1:25" x14ac:dyDescent="0.2">
      <c r="A126" s="4"/>
      <c r="B126" s="18">
        <v>42965.364583333336</v>
      </c>
      <c r="C126" s="21"/>
      <c r="D126" s="4">
        <v>1.4</v>
      </c>
      <c r="E126" s="4">
        <v>1076270.3766554301</v>
      </c>
      <c r="F126" s="4">
        <v>249009.197851529</v>
      </c>
      <c r="G126" s="4">
        <v>0.31</v>
      </c>
      <c r="H126" s="4">
        <v>0.28599999999999998</v>
      </c>
      <c r="I126" s="4">
        <v>0.26700000000000002</v>
      </c>
      <c r="J126" s="4">
        <v>6.2</v>
      </c>
      <c r="K126">
        <f>D126/2+SUM(D127:D131)</f>
        <v>13.499999999999998</v>
      </c>
      <c r="L126" s="29">
        <f t="shared" ref="L126:M126" si="18">E126/2+SUM(E127:E131)</f>
        <v>14466469.384373585</v>
      </c>
      <c r="M126" s="29">
        <f t="shared" si="18"/>
        <v>2436535.4338894803</v>
      </c>
      <c r="N126">
        <f>I125</f>
        <v>0.26500000000000001</v>
      </c>
      <c r="O126" s="28">
        <f>(L126*0.000001)/(1629*(K126*0.001))</f>
        <v>0.65782094829245774</v>
      </c>
      <c r="P126" s="28">
        <f>(L126-M126)/L126</f>
        <v>0.83157359483155013</v>
      </c>
      <c r="Q126" s="28">
        <f>O126*P126</f>
        <v>0.54702653072705831</v>
      </c>
    </row>
    <row r="127" spans="1:25" x14ac:dyDescent="0.2">
      <c r="A127" s="8"/>
      <c r="B127" s="9">
        <v>42965.375</v>
      </c>
      <c r="C127" s="22"/>
      <c r="D127" s="8">
        <v>11.2</v>
      </c>
      <c r="E127" s="8">
        <v>10827051.031042101</v>
      </c>
      <c r="F127" s="8">
        <v>1700170.3163880699</v>
      </c>
      <c r="G127" s="8">
        <v>0.32100000000000001</v>
      </c>
      <c r="H127" s="8">
        <v>0.28299999999999997</v>
      </c>
      <c r="I127" s="8">
        <v>0.26500000000000001</v>
      </c>
    </row>
    <row r="128" spans="1:25" x14ac:dyDescent="0.2">
      <c r="A128" s="8"/>
      <c r="B128" s="9">
        <v>42965.385416666664</v>
      </c>
      <c r="C128" s="22"/>
      <c r="D128" s="8">
        <v>1.4</v>
      </c>
      <c r="E128" s="8">
        <v>2795601.3558272598</v>
      </c>
      <c r="F128" s="8">
        <v>588298.42799810297</v>
      </c>
      <c r="G128" s="8">
        <v>0.316</v>
      </c>
      <c r="H128" s="8">
        <v>0.28000000000000003</v>
      </c>
      <c r="I128" s="8">
        <v>0.26600000000000001</v>
      </c>
    </row>
    <row r="129" spans="1:9" x14ac:dyDescent="0.2">
      <c r="A129" s="8"/>
      <c r="B129" s="9">
        <v>42965.395833333336</v>
      </c>
      <c r="C129" s="22"/>
      <c r="D129" s="8">
        <v>0</v>
      </c>
      <c r="E129" s="8">
        <v>207260.307230682</v>
      </c>
      <c r="F129" s="8">
        <v>14947.019901519399</v>
      </c>
      <c r="G129" s="8">
        <v>0.316</v>
      </c>
      <c r="H129" s="8">
        <v>0.27900000000000003</v>
      </c>
      <c r="I129" s="8">
        <v>0.26600000000000001</v>
      </c>
    </row>
    <row r="130" spans="1:9" x14ac:dyDescent="0.2">
      <c r="A130" s="8"/>
      <c r="B130" s="9">
        <v>42965.40625</v>
      </c>
      <c r="C130" s="22"/>
      <c r="D130" s="8">
        <v>0.2</v>
      </c>
      <c r="E130" s="8">
        <v>98421.501945828597</v>
      </c>
      <c r="F130" s="8">
        <v>8615.0706760236808</v>
      </c>
      <c r="G130" s="8">
        <v>0.31900000000000001</v>
      </c>
      <c r="H130" s="8">
        <v>0.27500000000000002</v>
      </c>
      <c r="I130" s="8">
        <v>0.26500000000000001</v>
      </c>
    </row>
    <row r="131" spans="1:9" x14ac:dyDescent="0.2">
      <c r="A131" s="8"/>
      <c r="B131" s="9">
        <v>42965.416666666664</v>
      </c>
      <c r="C131" s="22"/>
      <c r="D131" s="8">
        <v>0</v>
      </c>
      <c r="E131" s="8">
        <v>0</v>
      </c>
      <c r="F131" s="8">
        <v>0</v>
      </c>
      <c r="G131" s="8">
        <v>0.311</v>
      </c>
      <c r="H131" s="8">
        <v>0.27300000000000002</v>
      </c>
      <c r="I131" s="8">
        <v>0.26500000000000001</v>
      </c>
    </row>
    <row r="132" spans="1:9" x14ac:dyDescent="0.2">
      <c r="B132" s="3">
        <v>42965.427083333336</v>
      </c>
      <c r="C132" s="19"/>
      <c r="D132">
        <v>0</v>
      </c>
      <c r="E132">
        <v>0</v>
      </c>
      <c r="F132">
        <v>0</v>
      </c>
      <c r="G132">
        <v>0.28100000000000003</v>
      </c>
      <c r="H132">
        <v>0.27200000000000002</v>
      </c>
      <c r="I132">
        <v>0.26400000000000001</v>
      </c>
    </row>
    <row r="134" spans="1:9" x14ac:dyDescent="0.2">
      <c r="A134" s="1"/>
      <c r="B134" s="3"/>
      <c r="C134" s="19"/>
    </row>
    <row r="135" spans="1:9" x14ac:dyDescent="0.2">
      <c r="B135" s="3"/>
      <c r="C135" s="19"/>
    </row>
    <row r="136" spans="1:9" x14ac:dyDescent="0.2">
      <c r="B136" s="3"/>
      <c r="C136" s="19"/>
    </row>
    <row r="137" spans="1:9" x14ac:dyDescent="0.2">
      <c r="B137" s="3"/>
      <c r="C137" s="19"/>
    </row>
    <row r="138" spans="1:9" x14ac:dyDescent="0.2">
      <c r="B138" s="3"/>
      <c r="C138" s="19"/>
    </row>
    <row r="139" spans="1:9" x14ac:dyDescent="0.2">
      <c r="B139" s="3"/>
      <c r="C139" s="19"/>
    </row>
    <row r="140" spans="1:9" x14ac:dyDescent="0.2">
      <c r="B140" s="3"/>
      <c r="C140" s="19"/>
    </row>
    <row r="141" spans="1:9" x14ac:dyDescent="0.2">
      <c r="B141" s="3"/>
      <c r="C141" s="19"/>
    </row>
    <row r="142" spans="1:9" x14ac:dyDescent="0.2">
      <c r="B142" s="3"/>
      <c r="C142" s="19"/>
    </row>
    <row r="143" spans="1:9" x14ac:dyDescent="0.2">
      <c r="B143" s="3"/>
      <c r="C143" s="19"/>
    </row>
    <row r="144" spans="1:9" x14ac:dyDescent="0.2">
      <c r="B144" s="3"/>
      <c r="C144" s="19"/>
    </row>
    <row r="145" spans="2:6" x14ac:dyDescent="0.2">
      <c r="B145" s="3"/>
      <c r="C145" s="19"/>
    </row>
    <row r="146" spans="2:6" x14ac:dyDescent="0.2">
      <c r="B146" s="3"/>
      <c r="C146" s="19"/>
    </row>
    <row r="147" spans="2:6" x14ac:dyDescent="0.2">
      <c r="B147" s="3"/>
      <c r="C147" s="19"/>
    </row>
    <row r="148" spans="2:6" x14ac:dyDescent="0.2">
      <c r="B148" s="3"/>
      <c r="C148" s="19"/>
    </row>
    <row r="149" spans="2:6" x14ac:dyDescent="0.2">
      <c r="B149" s="3"/>
      <c r="C149" s="19"/>
    </row>
    <row r="150" spans="2:6" x14ac:dyDescent="0.2">
      <c r="B150" s="3"/>
      <c r="C150" s="19"/>
    </row>
    <row r="151" spans="2:6" x14ac:dyDescent="0.2">
      <c r="B151" s="3"/>
      <c r="C151" s="19"/>
    </row>
    <row r="152" spans="2:6" x14ac:dyDescent="0.2">
      <c r="B152" s="3"/>
      <c r="C152" s="19"/>
    </row>
    <row r="153" spans="2:6" x14ac:dyDescent="0.2">
      <c r="B153" s="3"/>
      <c r="C153" s="19"/>
    </row>
    <row r="154" spans="2:6" x14ac:dyDescent="0.2">
      <c r="B154" s="3"/>
      <c r="C154" s="19"/>
    </row>
    <row r="155" spans="2:6" x14ac:dyDescent="0.2">
      <c r="B155" s="3"/>
      <c r="C155" s="19"/>
    </row>
    <row r="156" spans="2:6" x14ac:dyDescent="0.2">
      <c r="B156" s="3"/>
      <c r="C156" s="19"/>
    </row>
    <row r="158" spans="2:6" x14ac:dyDescent="0.2">
      <c r="D158" s="5"/>
      <c r="E158" s="5"/>
      <c r="F15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Culligan</dc:creator>
  <cp:lastModifiedBy>Patricia Culligan</cp:lastModifiedBy>
  <dcterms:created xsi:type="dcterms:W3CDTF">2026-08-17T14:48:49Z</dcterms:created>
  <dcterms:modified xsi:type="dcterms:W3CDTF">2026-10-12T14:20:40Z</dcterms:modified>
</cp:coreProperties>
</file>